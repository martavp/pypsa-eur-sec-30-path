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20" yWindow="330" windowWidth="18480" windowHeight="6480" firstSheet="21"/>
  </bookViews>
  <sheets>
    <sheet name="Index" sheetId="33" r:id="rId1"/>
    <sheet name="81 Biogas Plant, Basic conf." sheetId="25" r:id="rId2"/>
    <sheet name="81 Biogas Plant, Add. Straw" sheetId="26" r:id="rId3"/>
    <sheet name="81 Biogas Plant, Add. Org Waste" sheetId="27" r:id="rId4"/>
    <sheet name="82 Biogas, upgrading" sheetId="28" r:id="rId5"/>
    <sheet name="83 Gasif. Fixed Bed, Producer " sheetId="22" r:id="rId6"/>
    <sheet name="84 Gasif. CFB, Bio-SNG" sheetId="23" r:id="rId7"/>
    <sheet name="85 Gasif. Ent. Flow FT, liq fu " sheetId="24" r:id="rId8"/>
    <sheet name="86 SOEC" sheetId="29" r:id="rId9"/>
    <sheet name="87 PEM Electrolyser" sheetId="30" r:id="rId10"/>
    <sheet name="88 Alkaline Electrolyser" sheetId="31" r:id="rId11"/>
    <sheet name="89 Vegetable oil FAME" sheetId="32" r:id="rId12"/>
    <sheet name="90 UCO &amp; animal fat FAME" sheetId="34" r:id="rId13"/>
    <sheet name="91 Hydrogenated veg oil" sheetId="35" r:id="rId14"/>
    <sheet name="92 HVO jet fuel" sheetId="36" r:id="rId15"/>
    <sheet name="93 1st generation ethanol" sheetId="37" r:id="rId16"/>
    <sheet name="94 Pyrolysis oils" sheetId="38" r:id="rId17"/>
    <sheet name="95 Cellulosic ethanol" sheetId="39" r:id="rId18"/>
    <sheet name="97 Methanol from biomass gasif." sheetId="41" r:id="rId19"/>
    <sheet name="98 Methanol from power" sheetId="42" r:id="rId20"/>
    <sheet name="99 SNG from methan. of biogas" sheetId="43" r:id="rId21"/>
    <sheet name="100 Hydrothermal liquifaction" sheetId="45" r:id="rId22"/>
    <sheet name="101 Catalytic Hydropyrolysis 2" sheetId="46" r:id="rId23"/>
    <sheet name="101 Catalytic Hydropyrolysis 1" sheetId="47" r:id="rId24"/>
  </sheets>
  <definedNames>
    <definedName name="_Toc520721030" localSheetId="11">'89 Vegetable oil FAME'!#REF!</definedName>
    <definedName name="_Toc520721076" localSheetId="13">'91 Hydrogenated veg oil'!$B$56</definedName>
    <definedName name="_Toc520721099" localSheetId="14">'92 HVO jet fuel'!$B$56</definedName>
    <definedName name="_Toc520721122" localSheetId="15">'93 1st generation ethanol'!$B$50</definedName>
    <definedName name="_Toc520721145" localSheetId="16">'94 Pyrolysis oils'!$B$45</definedName>
    <definedName name="_Toc520721168" localSheetId="17">'95 Cellulosic ethanol'!$B$45</definedName>
    <definedName name="_Toc520721214" localSheetId="18">'97 Methanol from biomass gasif.'!$B$43</definedName>
    <definedName name="_Toc520721237" localSheetId="19">'98 Methanol from power'!$B$48</definedName>
    <definedName name="_Toc520721259" localSheetId="20">'99 SNG from methan. of biogas'!$B$47</definedName>
    <definedName name="_Toc520721282" localSheetId="21">'100 Hydrothermal liquifaction'!$B$46</definedName>
    <definedName name="Index">Index!$B$1</definedName>
    <definedName name="Sheet">Index!$A$1</definedName>
    <definedName name="Start10">'87 PEM Electrolyser'!$H$1</definedName>
    <definedName name="Start11">'88 Alkaline Electrolyser'!$H$1</definedName>
    <definedName name="Start12">'89 Vegetable oil FAME'!$H$1</definedName>
    <definedName name="Start13">'90 UCO &amp; animal fat FAME'!$H$1</definedName>
    <definedName name="Start14">'91 Hydrogenated veg oil'!$H$1</definedName>
    <definedName name="Start15">'92 HVO jet fuel'!$H$1</definedName>
    <definedName name="Start16">'93 1st generation ethanol'!$H$1</definedName>
    <definedName name="Start17">'94 Pyrolysis oils'!$H$1</definedName>
    <definedName name="Start18">'95 Cellulosic ethanol'!$H$1</definedName>
    <definedName name="Start19">'97 Methanol from biomass gasif.'!$H$1</definedName>
    <definedName name="Start2">'81 Biogas Plant, Basic conf.'!$H$1</definedName>
    <definedName name="Start20">'98 Methanol from power'!$H$1</definedName>
    <definedName name="Start21">'99 SNG from methan. of biogas'!$H$1</definedName>
    <definedName name="Start22">'100 Hydrothermal liquifaction'!$H$1</definedName>
    <definedName name="Start23">'101 Catalytic Hydropyrolysis 2'!$H$1</definedName>
    <definedName name="Start24">'101 Catalytic Hydropyrolysis 1'!$H$1</definedName>
    <definedName name="Start25">'101 Catalytic Hydropyrolysis 1'!$H$1</definedName>
    <definedName name="Start3">'81 Biogas Plant, Add. Straw'!$H$1</definedName>
    <definedName name="Start4">'81 Biogas Plant, Add. Org Waste'!$H$1</definedName>
    <definedName name="Start5">'82 Biogas, upgrading'!$H$1</definedName>
    <definedName name="Start6">'83 Gasif. Fixed Bed, Producer '!$H$1</definedName>
    <definedName name="Start7">'84 Gasif. CFB, Bio-SNG'!$H$1</definedName>
    <definedName name="Start8">'85 Gasif. Ent. Flow FT, liq fu '!$H$1</definedName>
    <definedName name="Start9">'86 SOEC'!$H$1</definedName>
  </definedNames>
  <calcPr calcId="145621"/>
</workbook>
</file>

<file path=xl/calcChain.xml><?xml version="1.0" encoding="utf-8"?>
<calcChain xmlns="http://schemas.openxmlformats.org/spreadsheetml/2006/main">
  <c r="F14" i="24" l="1"/>
  <c r="G13" i="24"/>
  <c r="F13" i="24"/>
  <c r="E13" i="24"/>
  <c r="G12" i="24"/>
  <c r="E12" i="24"/>
  <c r="F12" i="24" s="1"/>
  <c r="G11" i="24"/>
  <c r="E11" i="24"/>
  <c r="F11" i="24" s="1"/>
  <c r="G18" i="36" l="1"/>
  <c r="F18" i="36"/>
  <c r="E18" i="36"/>
  <c r="D18" i="36"/>
  <c r="C18" i="36"/>
  <c r="G18" i="35"/>
  <c r="F18" i="35"/>
  <c r="E18" i="35"/>
  <c r="D18" i="35"/>
  <c r="C18" i="35"/>
  <c r="G22" i="32"/>
  <c r="E22" i="32"/>
  <c r="D22" i="32"/>
  <c r="C22" i="32"/>
  <c r="J23" i="31" l="1"/>
  <c r="I23" i="31"/>
  <c r="H23" i="31"/>
  <c r="G23" i="31"/>
  <c r="F23" i="31"/>
  <c r="E23" i="31"/>
  <c r="D23" i="31"/>
  <c r="C23" i="31"/>
  <c r="J23" i="30"/>
  <c r="I23" i="30"/>
  <c r="H23" i="30"/>
  <c r="G23" i="30"/>
  <c r="F23" i="30"/>
  <c r="E23" i="30"/>
  <c r="D23" i="30"/>
  <c r="C23" i="30"/>
  <c r="C22" i="30"/>
  <c r="C21" i="30"/>
  <c r="J25" i="29"/>
  <c r="I25" i="29"/>
  <c r="H25" i="29"/>
  <c r="G25" i="29"/>
  <c r="F25" i="29"/>
  <c r="E25" i="29"/>
  <c r="D25" i="29"/>
  <c r="J12" i="29"/>
  <c r="I12" i="29"/>
  <c r="H12" i="29"/>
  <c r="G12" i="29"/>
  <c r="F33" i="27"/>
  <c r="E33" i="27"/>
  <c r="D33" i="27"/>
  <c r="C33" i="27"/>
  <c r="C30" i="27" s="1"/>
  <c r="C29" i="27" s="1"/>
  <c r="F32" i="27"/>
  <c r="E32" i="27"/>
  <c r="D32" i="27"/>
  <c r="C32" i="27"/>
  <c r="F30" i="27"/>
  <c r="F29" i="27" s="1"/>
  <c r="E30" i="27"/>
  <c r="E29" i="27" s="1"/>
  <c r="D30" i="27"/>
  <c r="D29" i="27" s="1"/>
  <c r="E37" i="26"/>
  <c r="F37" i="26" s="1"/>
  <c r="G37" i="26" s="1"/>
  <c r="D37" i="26"/>
  <c r="B37" i="26"/>
  <c r="F33" i="26"/>
  <c r="E33" i="26"/>
  <c r="D33" i="26"/>
  <c r="C33" i="26"/>
  <c r="F32" i="26"/>
  <c r="E32" i="26"/>
  <c r="D32" i="26"/>
  <c r="C32" i="26"/>
  <c r="F30" i="26"/>
  <c r="E30" i="26"/>
  <c r="E29" i="26" s="1"/>
  <c r="D30" i="26"/>
  <c r="C30" i="26"/>
  <c r="F29" i="26"/>
  <c r="D29" i="26"/>
  <c r="C29" i="26"/>
  <c r="J33" i="25"/>
  <c r="I33" i="25"/>
  <c r="H33" i="25"/>
  <c r="G33" i="25"/>
  <c r="J31" i="25"/>
  <c r="I31" i="25"/>
  <c r="H31" i="25"/>
  <c r="G31" i="25"/>
  <c r="J30" i="25"/>
  <c r="I30" i="25"/>
  <c r="H30" i="25"/>
  <c r="G30" i="25"/>
  <c r="N14" i="25"/>
  <c r="M14" i="25"/>
  <c r="L14" i="25"/>
  <c r="K14" i="25"/>
  <c r="N12" i="25"/>
  <c r="N33" i="25" s="1"/>
  <c r="N31" i="25" s="1"/>
  <c r="N30" i="25" s="1"/>
  <c r="M12" i="25"/>
  <c r="M33" i="25" s="1"/>
  <c r="M31" i="25" s="1"/>
  <c r="M30" i="25" s="1"/>
  <c r="L12" i="25"/>
  <c r="L33" i="25" s="1"/>
  <c r="L31" i="25" s="1"/>
  <c r="L30" i="25" s="1"/>
  <c r="K12" i="25"/>
  <c r="K33" i="25" s="1"/>
  <c r="K31" i="25" s="1"/>
  <c r="K30" i="25" s="1"/>
  <c r="C3" i="22" l="1"/>
</calcChain>
</file>

<file path=xl/sharedStrings.xml><?xml version="1.0" encoding="utf-8"?>
<sst xmlns="http://schemas.openxmlformats.org/spreadsheetml/2006/main" count="2026" uniqueCount="824">
  <si>
    <t>F</t>
  </si>
  <si>
    <t>E</t>
  </si>
  <si>
    <t>D</t>
  </si>
  <si>
    <t>C</t>
  </si>
  <si>
    <t>B</t>
  </si>
  <si>
    <t>A</t>
  </si>
  <si>
    <t>Notes:</t>
  </si>
  <si>
    <t xml:space="preserve"> - of which installation</t>
  </si>
  <si>
    <t xml:space="preserve"> - of which equipment</t>
  </si>
  <si>
    <t xml:space="preserve">Financial data                                 </t>
  </si>
  <si>
    <r>
      <t>NO</t>
    </r>
    <r>
      <rPr>
        <vertAlign val="subscript"/>
        <sz val="9"/>
        <rFont val="Arial"/>
        <family val="2"/>
      </rPr>
      <t>X</t>
    </r>
    <r>
      <rPr>
        <sz val="9"/>
        <rFont val="Arial"/>
        <family val="2"/>
      </rPr>
      <t xml:space="preserve"> (g per GJ fuel) </t>
    </r>
  </si>
  <si>
    <t>Environment</t>
  </si>
  <si>
    <t>Construction time (years)</t>
  </si>
  <si>
    <t>Minimum load (% of full load)</t>
  </si>
  <si>
    <t>Technical lifetime (years)</t>
  </si>
  <si>
    <t>Energy/technical data</t>
  </si>
  <si>
    <t>Upper</t>
  </si>
  <si>
    <t>Lower</t>
  </si>
  <si>
    <t>Ref</t>
  </si>
  <si>
    <t>Note</t>
  </si>
  <si>
    <t>Technology</t>
  </si>
  <si>
    <t xml:space="preserve">Technology </t>
  </si>
  <si>
    <t>Cold start-up time (hours)</t>
  </si>
  <si>
    <t>Warm start-up time (hours)</t>
  </si>
  <si>
    <t>Planned outage (weeks per year)</t>
  </si>
  <si>
    <t>Uncertainty (2050)</t>
  </si>
  <si>
    <t>Uncertainty (2020)</t>
  </si>
  <si>
    <t>Technology specific data</t>
  </si>
  <si>
    <t>References:</t>
  </si>
  <si>
    <t>-</t>
  </si>
  <si>
    <t>With flue gas condensation</t>
  </si>
  <si>
    <t>Forgasning – Fase 2. Økonomi, videnindhentning og samarbejde. DGC Februar 2012.</t>
  </si>
  <si>
    <t>Force, Technology data for advanced bioenergy fuels, 2013</t>
  </si>
  <si>
    <t>Assumed to be in the same magnitude as a coal fired power plant</t>
  </si>
  <si>
    <t>Assumed that the total O&amp;M costs splits in 1/3 variable, 2/3 fixed costs, 8000 h/year</t>
  </si>
  <si>
    <t>- Input</t>
  </si>
  <si>
    <t>- Output</t>
  </si>
  <si>
    <t>Commissioning of the GoBiGas 20 MW biomethane plant. Thuman 2015</t>
  </si>
  <si>
    <t>Bio2G - A full scale reference plant in Sweden for production of bio-SNG, E.ON (Möller) 2013.</t>
  </si>
  <si>
    <t>Generally the plants' electricity generation is assumed to balance the consumption</t>
  </si>
  <si>
    <t>Tunå &amp; Hulteberg, 2014.</t>
  </si>
  <si>
    <t>G</t>
  </si>
  <si>
    <t>H</t>
  </si>
  <si>
    <t>Efficiencies are expected to improve gradually from presently demonstrated level, to values corresponding to various studies for large plants in 2030, and gradual increase to 2050. It is assumed that a total efficiency of 90% can be obtained.</t>
  </si>
  <si>
    <t>Gassner &amp; Marechal, 2012</t>
  </si>
  <si>
    <t>Heat at normal district heating temprature set 80/50 deg. Additional low temperature heat for heat pumps is possible. For uncertainty values, a higher heat output can be expected at low gas output and vice versa.</t>
  </si>
  <si>
    <t>“Handbook Biomass Gasification”, Edited by H.A.M. Knoef, BTG biomass technology group, 2005.</t>
  </si>
  <si>
    <t>[18]</t>
  </si>
  <si>
    <t>http://www.volund.dk/Biomass_energy/Technologies/Gasification_of_biomass</t>
  </si>
  <si>
    <t>IEA Task 32, Workshop State of the art technologies for small biomass co-generation, 2010</t>
  </si>
  <si>
    <t>BioSynergi, telefonkontakt Henrik Houman</t>
  </si>
  <si>
    <t>1,3,4,5</t>
  </si>
  <si>
    <t>The stated capacity is the upper range, down scaling is possible.</t>
  </si>
  <si>
    <t>Gasifier, biomass, bio-SNG, medium - large scale</t>
  </si>
  <si>
    <r>
      <t>Specific investment (M€/MW</t>
    </r>
    <r>
      <rPr>
        <vertAlign val="subscript"/>
        <sz val="9"/>
        <rFont val="Arial"/>
        <family val="2"/>
      </rPr>
      <t>th</t>
    </r>
    <r>
      <rPr>
        <sz val="9"/>
        <rFont val="Arial"/>
        <family val="2"/>
      </rPr>
      <t>)</t>
    </r>
  </si>
  <si>
    <r>
      <t>Variable O&amp;M (€/MWh</t>
    </r>
    <r>
      <rPr>
        <vertAlign val="subscript"/>
        <sz val="9"/>
        <rFont val="Arial"/>
        <family val="2"/>
      </rPr>
      <t>th</t>
    </r>
    <r>
      <rPr>
        <sz val="9"/>
        <rFont val="Arial"/>
        <family val="2"/>
      </rPr>
      <t>)</t>
    </r>
  </si>
  <si>
    <t>12;13</t>
  </si>
  <si>
    <t>21;19;13/17/19;</t>
  </si>
  <si>
    <t>12+21;12+19+13;15/17</t>
  </si>
  <si>
    <t>12/21;12/21+13/17/19</t>
  </si>
  <si>
    <r>
      <t>CH</t>
    </r>
    <r>
      <rPr>
        <vertAlign val="subscript"/>
        <sz val="9"/>
        <rFont val="Arial"/>
        <family val="2"/>
      </rPr>
      <t>4</t>
    </r>
    <r>
      <rPr>
        <sz val="9"/>
        <rFont val="Arial"/>
        <family val="2"/>
      </rPr>
      <t xml:space="preserve"> (g per GJ fuel)</t>
    </r>
  </si>
  <si>
    <r>
      <t>N</t>
    </r>
    <r>
      <rPr>
        <vertAlign val="subscript"/>
        <sz val="9"/>
        <rFont val="Arial"/>
        <family val="2"/>
      </rPr>
      <t>2</t>
    </r>
    <r>
      <rPr>
        <sz val="9"/>
        <rFont val="Arial"/>
        <family val="2"/>
      </rPr>
      <t>O (g per GJ fuel)</t>
    </r>
  </si>
  <si>
    <t>Gasifier, biomass, producer gas, small - medium scale</t>
  </si>
  <si>
    <t>Ref.</t>
  </si>
  <si>
    <t>1,2,8</t>
  </si>
  <si>
    <t>3,4,5,8,11</t>
  </si>
  <si>
    <t>1.5</t>
  </si>
  <si>
    <r>
      <t>Fixed O&amp;M (€/MW</t>
    </r>
    <r>
      <rPr>
        <vertAlign val="subscript"/>
        <sz val="9"/>
        <rFont val="Arial"/>
        <family val="2"/>
      </rPr>
      <t>th</t>
    </r>
    <r>
      <rPr>
        <sz val="9"/>
        <rFont val="Arial"/>
        <family val="2"/>
      </rPr>
      <t>/year)</t>
    </r>
  </si>
  <si>
    <t>With flue gas condensation, considering lower heating value of biomass fuel.</t>
  </si>
  <si>
    <r>
      <t>Producer gas primarily consists of the components N</t>
    </r>
    <r>
      <rPr>
        <vertAlign val="subscript"/>
        <sz val="9"/>
        <rFont val="Arial"/>
        <family val="2"/>
      </rPr>
      <t>2</t>
    </r>
    <r>
      <rPr>
        <sz val="9"/>
        <rFont val="Arial"/>
        <family val="2"/>
      </rPr>
      <t>, H</t>
    </r>
    <r>
      <rPr>
        <vertAlign val="subscript"/>
        <sz val="9"/>
        <rFont val="Arial"/>
        <family val="2"/>
      </rPr>
      <t>2</t>
    </r>
    <r>
      <rPr>
        <sz val="9"/>
        <rFont val="Arial"/>
        <family val="2"/>
      </rPr>
      <t>, CO, CO</t>
    </r>
    <r>
      <rPr>
        <vertAlign val="subscript"/>
        <sz val="9"/>
        <rFont val="Arial"/>
        <family val="2"/>
      </rPr>
      <t>2</t>
    </r>
    <r>
      <rPr>
        <sz val="9"/>
        <rFont val="Arial"/>
        <family val="2"/>
      </rPr>
      <t>, CH</t>
    </r>
    <r>
      <rPr>
        <vertAlign val="subscript"/>
        <sz val="9"/>
        <rFont val="Arial"/>
        <family val="2"/>
      </rPr>
      <t>4</t>
    </r>
    <r>
      <rPr>
        <sz val="9"/>
        <rFont val="Arial"/>
        <family val="2"/>
      </rPr>
      <t>, and water. Calorific value 5 - 6 MJ/Nm</t>
    </r>
    <r>
      <rPr>
        <vertAlign val="superscript"/>
        <sz val="9"/>
        <rFont val="Arial"/>
        <family val="2"/>
      </rPr>
      <t>3</t>
    </r>
    <r>
      <rPr>
        <sz val="9"/>
        <rFont val="Arial"/>
        <family val="2"/>
      </rPr>
      <t>. For some references ([3], [4]) the electric efficincy has been used to calculate gasifier efficiencies, assuming an engine efficiency of 42%.</t>
    </r>
  </si>
  <si>
    <t>The values in [9] have been used (sh. 85) but adjusted to keep overall yearly O&amp;M costs at 3% of investment</t>
  </si>
  <si>
    <t>The values in [9] have been used. Variable O&amp;M for a Staged down draft gasifier (sh. 85) have been subtracted O&amp;M of a  gas engine (sh. 06).</t>
  </si>
  <si>
    <t>Efficiencies are expected to improve gradually from presently demonstrated levels, to cold gas efficiencies of 85% in 2050. It is assumed that a total efficiency of 90% can be obtained in 2050.</t>
  </si>
  <si>
    <r>
      <t>Typical fuel input capacity, one unit (MW</t>
    </r>
    <r>
      <rPr>
        <vertAlign val="subscript"/>
        <sz val="9"/>
        <rFont val="Arial"/>
        <family val="2"/>
      </rPr>
      <t>th</t>
    </r>
    <r>
      <rPr>
        <sz val="9"/>
        <rFont val="Arial"/>
        <family val="2"/>
      </rPr>
      <t>)</t>
    </r>
  </si>
  <si>
    <t>Fixed O&amp;M (€/MWth/year)</t>
  </si>
  <si>
    <t>23, 29</t>
  </si>
  <si>
    <t>2015 data for NOX and N2O origin from [23]. Other values are assumed to be in the same magnitude as a biomass fired PF power plant (pellets)</t>
  </si>
  <si>
    <t>Unplanned outage (%)</t>
  </si>
  <si>
    <t>Biomass (% of input capacity)</t>
  </si>
  <si>
    <t>Electricity (% of input capacity)</t>
  </si>
  <si>
    <t>Producer gas (% of fuel input)</t>
  </si>
  <si>
    <t>Heat (% of input)</t>
  </si>
  <si>
    <t>Bio SNG (% of fuel input)</t>
  </si>
  <si>
    <t>Fixed bed gasifiers are usually integrated with an internal combustion gas engine gen-set. Sources are for total project including gas engine and the engine part has been deducted at 1.33 M€/Mwe and 42% efficiency.
It is assumed that the accumulated production capacity will increase by 40 % between 2015 and 2020, double between 2020 and 2030 and between 2030 and 2050. A learning curve progress rate of 90 % is assumed this yields a 5 % decrease in investment costs between 2015 and 2020, 10 % reduction between 2020 and 2030 and between 2030 and 2050. Similar progress ratios have been used for O&amp;M costs.</t>
  </si>
  <si>
    <t>For 2015, values reflect the 20 MWgas Swedish GoBiGas Phase 1 demonstration project. A proportionality factor of 0.7 is assumed to apply when going from 2015 to 2020 based on the anticipated upscaling from 20 MWgas to 100 MWgas [21]. For 2030, the figure is an average of a value from theoretical studies [17] multiplied by 1.4 and a value from feasibility studies [19] multiplied by 1.15. From 2030 to 2050 simply a reduction of 10% has been assumed to reflect a learning curve.</t>
  </si>
  <si>
    <t>Biogas plant, basic configuration</t>
  </si>
  <si>
    <t>Typical total plant size (MW output)</t>
  </si>
  <si>
    <t>- Inputs</t>
  </si>
  <si>
    <t>Biomass (tons/year)</t>
  </si>
  <si>
    <t>A B</t>
  </si>
  <si>
    <t>5/8/9</t>
  </si>
  <si>
    <t>Aux. electricity (% of output energy)</t>
  </si>
  <si>
    <t>Aux. electricity (kWh/ton input)</t>
  </si>
  <si>
    <t>Aux. process heat (% of output energy)</t>
  </si>
  <si>
    <t>Aux. process heat (kWh/ton input))</t>
  </si>
  <si>
    <t>- Outputs</t>
  </si>
  <si>
    <t>Biogas (%)</t>
  </si>
  <si>
    <t>Biogas (GJ/ton input)</t>
  </si>
  <si>
    <t>9</t>
  </si>
  <si>
    <t>J</t>
  </si>
  <si>
    <t>Forced outage (%)</t>
  </si>
  <si>
    <t>Planned outage (days per year)</t>
  </si>
  <si>
    <t>Specific investment (mio €/MW output)</t>
  </si>
  <si>
    <t>A H C</t>
  </si>
  <si>
    <t xml:space="preserve"> 8/5</t>
  </si>
  <si>
    <t>Total O&amp;M (€/MW/year)</t>
  </si>
  <si>
    <t xml:space="preserve">  Total O&amp;M (€/(ton input/year))</t>
  </si>
  <si>
    <t>A D I</t>
  </si>
  <si>
    <t>8/5</t>
  </si>
  <si>
    <t>- of which O&amp;M, excl el. and heat (€/(ton input/year))</t>
  </si>
  <si>
    <t>- of which electricity (€/(ton input/year))</t>
  </si>
  <si>
    <t>K</t>
  </si>
  <si>
    <t>- of which heat (€/(ton input/year))</t>
  </si>
  <si>
    <t>Technology Specific data</t>
  </si>
  <si>
    <t>Methane emission (Nm3 CH4/ton input/year)</t>
  </si>
  <si>
    <t>12</t>
  </si>
  <si>
    <t>The production, investment- and operation costs are based on a plant with a yearly input of 365,000 tons and a mix of available feedstock sources as described in [9] and [8], but excluding straw, energy crops, garden waste and aquatic biomass. The available feedstock composition for 2015 is obtained by interpolation of 2012 and 2020 potentials. The feedstock composition after 2020 is assumed constant.
The output of a specific plant will vary depending on the actual feedstock composition.</t>
  </si>
  <si>
    <t>Values are assumed valid for a range 200,000 - 400,000 tons per year</t>
  </si>
  <si>
    <t>The investment includes a straw fired boiler for process heat.</t>
  </si>
  <si>
    <t>All O&amp;M considered fixed, assuming 8760 hours operation per year. Does not include costs for biomass purchase and transport. Data for biomass included in biogas plant, basic configuration, 2015, is inluded below. Source: Reference [5].</t>
  </si>
  <si>
    <t>Biomass</t>
  </si>
  <si>
    <t>Share, 2015</t>
  </si>
  <si>
    <t>Share, 2020</t>
  </si>
  <si>
    <t>Price per ton (€), incl transport</t>
  </si>
  <si>
    <t>Manure (pig and cattle)</t>
  </si>
  <si>
    <t>Deep bed material</t>
  </si>
  <si>
    <t>Manure, stable</t>
  </si>
  <si>
    <t>Straw</t>
  </si>
  <si>
    <t>Industrial organic waste</t>
  </si>
  <si>
    <t>Household waste</t>
  </si>
  <si>
    <t>Energy crops</t>
  </si>
  <si>
    <t>Other</t>
  </si>
  <si>
    <t>For compatibility with the template the energy of the biogas output is assumed to be 100%. (For most of the input material a calorific value is not relevant)</t>
  </si>
  <si>
    <t>A calorific value of methane of 35.9 MJ/Nm3 is used. The input material composition and the output is assumed constant after 2020.</t>
  </si>
  <si>
    <t>Learning curve effects have been assumed 2015-2020: 10% reductions, 2020-2030: 10% reductions, 2030-2050: 10% reductions</t>
  </si>
  <si>
    <t>I</t>
  </si>
  <si>
    <t>Learning curve effects have been assumed 2015-2020: 5% reductions, 2020-2030: 5% reductions, 2030-2050: 5% reductions</t>
  </si>
  <si>
    <t>Corresponding to 2% of the produced biogas, wit lower value 0.8% and upper value 4.2%. This will vary and can be reduced.</t>
  </si>
  <si>
    <t>The cost of auxiliary electricity consumption is calculated using the following electricity prices in €/MWh: 2015: 63, 2020: 69, 2030: 101, 2050: 117. These prices include production costs and transport tariffs, but not any taxes or subsidies for renewable energy.</t>
  </si>
  <si>
    <t>"Udvikling og effektivisering af biogasproduktionen I Danmark – Delrapport 1 og 2”, Danish Energy Agency Biogas Taskforce 2015.</t>
  </si>
  <si>
    <t>”Anvendelse af biogas til el- og varmeproduktion, analyser for Biogas Taskforce”, Ea Energianalyse, 2014</t>
  </si>
  <si>
    <t>"Biomasse til biogasanlæg i Danmark - på kort og langt sigt", Agrotech, November 2013</t>
  </si>
  <si>
    <t>”Miljøeffekter af metanlækage på biogasanlæg”, Agrotek, 2015</t>
  </si>
  <si>
    <t>Typical capacity (tons/year input)</t>
  </si>
  <si>
    <t>Biogas production, (MJ/S heating value)</t>
  </si>
  <si>
    <t>Biogas plant, additional straw input in the feedstock mix</t>
  </si>
  <si>
    <t>Biogas from additional straw (MW output)</t>
  </si>
  <si>
    <t>Straw input (% of additional output)</t>
  </si>
  <si>
    <t>Straw input (tons per year)</t>
  </si>
  <si>
    <t>Auxilliary electricity input (% of additional output)</t>
  </si>
  <si>
    <t>Auxilliary electricity input (kWh/ton straw)</t>
  </si>
  <si>
    <t>Additional process heat (% of additional output)</t>
  </si>
  <si>
    <t>Auxilliary process heat (kWh/ton straw input)</t>
  </si>
  <si>
    <t>A C</t>
  </si>
  <si>
    <t>Biogas (GJ/ton straw input)</t>
  </si>
  <si>
    <t>Residual organic material</t>
  </si>
  <si>
    <t>Investment (€/MW)</t>
  </si>
  <si>
    <t>AEG</t>
  </si>
  <si>
    <t>Investment (€/ton straw input/year)</t>
  </si>
  <si>
    <t>AFG</t>
  </si>
  <si>
    <t>Total O&amp;M (€/ton straw input/year)</t>
  </si>
  <si>
    <t>Methane emission (Nm3 CH4 input/year)</t>
  </si>
  <si>
    <t xml:space="preserve"> - of which proces electricity</t>
  </si>
  <si>
    <t>A, E</t>
  </si>
  <si>
    <t>8/13</t>
  </si>
  <si>
    <t>The data sheet shows the expected energy output and values for the input of industrial organic waste specifically. The values refer to a virtual part of a total plant processing the straw. A plant including increased share of straw may be composed by adding a basic plant part and straw processing part.</t>
  </si>
  <si>
    <t>Values are assumed valid for adding a smaller part of straw to a total plant. Maximum share not assessed.</t>
  </si>
  <si>
    <t>For compatibility with the template the energy of the biogas output is assumed to be 100%. (For the input material a calorific value is not relevant)</t>
  </si>
  <si>
    <t>The energy content of residual organic material has not been evaluated due to lack of sources.</t>
  </si>
  <si>
    <t>Investment in straw preparation equipment (57 Eur/ton/year) and proportional share of basic plant included. Biogas processing time is 25 days</t>
  </si>
  <si>
    <t xml:space="preserve">All O&amp;M considered fixed, assuming 8760 hours operation per year. Does not include fuel for process heat, electricity, biomass purchase and transport, see e.g. [5] and [8]. </t>
  </si>
  <si>
    <t>The value will vary with the quality of the input. Assumed average value used corresponding to 320 Nm3 CH4 / ton VS, TS 42%, vs/ts 90%. [8].</t>
  </si>
  <si>
    <t>Learning curve effects have not been considered. Will depend on actrual deployment of technology.</t>
  </si>
  <si>
    <t>Biogas plant, additional industrial organic waste in the feedstock mix</t>
  </si>
  <si>
    <t>Biogas from additional ind. organic waste (MW output)</t>
  </si>
  <si>
    <t>Ind. organic waste input (% of additional output)</t>
  </si>
  <si>
    <t>125-200%</t>
  </si>
  <si>
    <t>L</t>
  </si>
  <si>
    <t>Ind. organic waste input (tons per year)</t>
  </si>
  <si>
    <t>Aux. electricity (% of additional output)</t>
  </si>
  <si>
    <t>5</t>
  </si>
  <si>
    <t>Aux. electricity (kWh/ton waste input)</t>
  </si>
  <si>
    <t>Aux. process heat (% of additional output)</t>
  </si>
  <si>
    <t>Aux. process heat (kWh/ton waste input))</t>
  </si>
  <si>
    <t>Biogas (% of total input)</t>
  </si>
  <si>
    <t>Biogas (GJ/ton ind. org. waste  input)</t>
  </si>
  <si>
    <t>ACG</t>
  </si>
  <si>
    <t>5/9</t>
  </si>
  <si>
    <t>Investment (€/MW output)</t>
  </si>
  <si>
    <t>AEH</t>
  </si>
  <si>
    <t>Investment (€/ton waste input / year)</t>
  </si>
  <si>
    <t>AFH</t>
  </si>
  <si>
    <t>Total O&amp;M (€/ton waste input/year)</t>
  </si>
  <si>
    <t>All O&amp;M considered fixed, assuming 8760 hours operation per year. Does not include fuel for process heat, electricity, biomass purchase and transport, see e.g. [5] and [8]. O&amp;M costs for straw processing equipment, 10 Eur/ton/year, and proportional share of basic plant included.</t>
  </si>
  <si>
    <t>Calculated with a constant production 8760 hours per year</t>
  </si>
  <si>
    <t xml:space="preserve">The conversion efficiency  depends on the specific types of industrial waste used at the biogas plants. </t>
  </si>
  <si>
    <t>Fatty biomasses may be converted with high efficiences (&gt;70 %) whereas for example the conversion of protein rich biomasses is closer to 50 %.</t>
  </si>
  <si>
    <t>Biogas upgrading</t>
  </si>
  <si>
    <t>Typical total size (MJ output/s)</t>
  </si>
  <si>
    <t>A G</t>
  </si>
  <si>
    <t>Typical total size (Nm3 biogas/h)</t>
  </si>
  <si>
    <t>1/4</t>
  </si>
  <si>
    <t>Capacity (Nm3 biomethane/h)</t>
  </si>
  <si>
    <t>Biogas (% of biogas input)</t>
  </si>
  <si>
    <t>Auxilliary electricity for upgrading (% of biogas input)</t>
  </si>
  <si>
    <t>A D J</t>
  </si>
  <si>
    <t>1/2/4/7</t>
  </si>
  <si>
    <t>Auxilliary electricity for compression (% of biogas input)</t>
  </si>
  <si>
    <t>A F</t>
  </si>
  <si>
    <t>2/4</t>
  </si>
  <si>
    <t>Heat (% of biogas input)</t>
  </si>
  <si>
    <t>Biomethane (% of biogas input)</t>
  </si>
  <si>
    <t>Waste gas (% of biogas input)</t>
  </si>
  <si>
    <t>Waste heat (% of biogas input)</t>
  </si>
  <si>
    <t>Forced outage (weeks per year)</t>
  </si>
  <si>
    <t>Specific investment, upgrading and methane reduction (€/MJ/s input)</t>
  </si>
  <si>
    <t>C D</t>
  </si>
  <si>
    <t>1/2/5/7</t>
  </si>
  <si>
    <t>Specific investment, grid injection at 40bar  (€/MJ/s input)</t>
  </si>
  <si>
    <t>Fixed O&amp;M  (€/MJ/s input / year)</t>
  </si>
  <si>
    <t>- of which fixed O&amp;M costs upgrading and methane reduction, excl. el.  (€/MJ/s input / year)</t>
  </si>
  <si>
    <t>- of which fixed O&amp;M costs grid injection, excl. el.  (€/MJ/s input / year)</t>
  </si>
  <si>
    <t>Variable O&amp;M ((€/GJ input)</t>
  </si>
  <si>
    <t>- of which electricity (€/GJ input)</t>
  </si>
  <si>
    <t>2/4/7</t>
  </si>
  <si>
    <t>Methane slip / emission (%)</t>
  </si>
  <si>
    <t>CO2 removal, %</t>
  </si>
  <si>
    <t>"Technology Data for Energy Plants – Generation of Electricity and District Heating, Energy Storage and Energy Carrier Generation and Conversion.", certain updates in October 2013, and January 2014, Danish Energy Agency, May 2012.</t>
  </si>
  <si>
    <t xml:space="preserve">Biogas upgrading – Review of commercial technologies. SGC Rapport 2013:270. SGC, 2013 </t>
  </si>
  <si>
    <t>"Biogas upgrading – Review of commercial technologies", SGC Rapport 2013:270, SGC, 2013 .</t>
  </si>
  <si>
    <t>"Biogas upgrading technologies – developments and innovations, Task 37 – Energy from biogas and landfill gas". IEA Bioenergy, 2009.</t>
  </si>
  <si>
    <t>”Anvendelse af biogas til el- og varmeproduktion”, Ea Energianalyse, 2014.</t>
  </si>
  <si>
    <t>”Introduktion til produktion af biometan fra biogas”, Biometan Regioner, 2013.</t>
  </si>
  <si>
    <t>Corresponding to 1.000 Nm3 biogas input, assuming a methane content of the raw biogas of 60% and an average gross conversion efficiency of approx. 98,5%.</t>
  </si>
  <si>
    <t>Values are assumed valid for a range 500-1,500 Nm3 biomethane per hour</t>
  </si>
  <si>
    <t>Values include upgrading, methane reduction and grid injection facilities</t>
  </si>
  <si>
    <t>Based on a water-scrubber technology based plant, alternative technologies have comparable values in terms of total upgrading costs.
For a plant of double capacity (2000 Nm3/h) the realtive price is expected to be 20-25% lower [1,3]</t>
  </si>
  <si>
    <t>The cost of auxiliary electricity consumption is calculated using the following electricity prices in €/MWh: 2015: 63, 2020: 69, 2030: 101, 2050: 117.  These prices include production costs and transport tariffs, but not any taxes or subsidies for renewable energy.</t>
  </si>
  <si>
    <t>Injection in natural gas grid at 40 bar</t>
  </si>
  <si>
    <t>Based on a lower calorfic value of 36 MJ/Nm3 and 8760 hours per year</t>
  </si>
  <si>
    <t>O&amp;M costs are estimated to 2.5% of investment per year, in accodance with [2]</t>
  </si>
  <si>
    <t xml:space="preserve">I </t>
  </si>
  <si>
    <t>Assuming that, by 2030, methane slip can be reduced to levels seen today for amin scrubbing technology. Methane slip is assumed to be the same as waste gas assuming that the plant is not equipped with a regenerative thermal oxidation (RTO) plant. If the  the off-gas from the upgrading plant is treated with a regenerative thermal oxidation (RTO) plant the methane slip can be eliminated.</t>
  </si>
  <si>
    <t>Assuming that, by 2030, one or more of the newer and currently less developled technologies (e.g. cryogenic and membrane technologies) will take over.</t>
  </si>
  <si>
    <t>This can lead to a 50% reduction of the electricity consumption, which is already achievable today with the amine scrubbing technology.</t>
  </si>
  <si>
    <t>“Biogas upgrading – Technical review, Energiforsk report 2016:275, Energiforsk AB, 2016.</t>
  </si>
  <si>
    <t xml:space="preserve">“Biogas upgrading – Review of commercial technologies”, SGC Rapport 2013:270, SGC, 2013. </t>
  </si>
  <si>
    <t xml:space="preserve">“Biogas upgrading technologies – developments and innovations. Task 37 – Energy from biogas and landfill gas”, Petersson &amp; Wellinger, IEA Bioenergy, 2009. </t>
  </si>
  <si>
    <t>Typical total plant size (MW input)</t>
  </si>
  <si>
    <t>Inputs</t>
  </si>
  <si>
    <t>A) Electricity input (% total size)</t>
  </si>
  <si>
    <t>7, 18</t>
  </si>
  <si>
    <t>B) Heat input (% total size)</t>
  </si>
  <si>
    <t>Outputs</t>
  </si>
  <si>
    <t>A) Hydrogen output (% total size)</t>
  </si>
  <si>
    <t>1, *</t>
  </si>
  <si>
    <t>B) Heat output (% total size)</t>
  </si>
  <si>
    <t>NA</t>
  </si>
  <si>
    <t>DTU conservative estimate</t>
  </si>
  <si>
    <t>Specific investment (M€-2015 per MW input)</t>
  </si>
  <si>
    <t>4, 5, 6, 7, 11,13,14</t>
  </si>
  <si>
    <t xml:space="preserve"> - hereof equipment (%)</t>
  </si>
  <si>
    <t>H, I</t>
  </si>
  <si>
    <t xml:space="preserve"> - hereof installation (%)</t>
  </si>
  <si>
    <t>Fixed O&amp;M (€-2015 per MW input per year)</t>
  </si>
  <si>
    <t>K, L</t>
  </si>
  <si>
    <t>10, 13</t>
  </si>
  <si>
    <t>Variable O&amp;M (€-2015 per MWh input)</t>
  </si>
  <si>
    <t xml:space="preserve">Technology specific data                                 </t>
  </si>
  <si>
    <t>Operating temperature (degC)</t>
  </si>
  <si>
    <t>D, E</t>
  </si>
  <si>
    <t>1, 2</t>
  </si>
  <si>
    <t>Stack lifetime (years)</t>
  </si>
  <si>
    <t>Ramp up time, linear to full load (minutes)</t>
  </si>
  <si>
    <t>Ramp down time, linear to full load (minutes)</t>
  </si>
  <si>
    <t>Start-up time (minutes)</t>
  </si>
  <si>
    <t>A plant operating in thermoneutral mode is assumed. Heat input for vaporizing the water is assumed and electricity for the remaining input [7]. The heat supplied to an unpressurized stack should be &gt;100C. For a stack pressurized at 5 bar the heat should be supplied at &gt;150C.</t>
  </si>
  <si>
    <t>It is assumed that the best operating strategy is to maintain efficiency throughout the lifetime and to compensate the small resistance increase occurring over the lifetime of the stack by reducing the production rate. The drop in production capacity can be reduced by allowing operation at increased temperature towards the end of life of the stacks.</t>
  </si>
  <si>
    <t>If the supplied water to the SOEC is in the form of steam at 150°C the electrical efficiency of electrolysis is increased by approximately ~17% (relative). This is relevant since waste heat at this temperature would be available, e.g. if the electrolysis is run together with a methanation or a methanol plant.</t>
  </si>
  <si>
    <t xml:space="preserve">Most of the ohmic heat created in the stack will be consumed by the electrolysis reaction, which is endothermic. By running the SOEC stack very close to thermo-neutral voltage only little heat can be extracted. The value for 2015 is predicted after communication with Haldor Topose. </t>
  </si>
  <si>
    <t>Increasing temperature may be necessary during operation in order to circumvent decreasing production rate due to degradation. In general the preferred operation temperature is expected to go down as technology improves towards 2050.</t>
  </si>
  <si>
    <t>For 250kW module construction time (stack production, mounting) is approximately 6 months (Sunfire: Danilo Schimanke, date: 22/01-2015).</t>
  </si>
  <si>
    <t>The turnkey price is made from estimates of the following cost factors; SOEC stack, heat exchangers, blower, pump, piping, electronics, delivery, land, contingency, contractors, legal fees, construction, engineering, yard improvements, buildings, electrics, piping, instrumentation and installation and grid connection (as described in ref 13), using the same assumptions that are detailed in reference [9]. Additionally, estimates from [10] and [17] are considered as well. The cost associated with grid connection is assumed to be 0.05 k€/kW [6]. Due to the uncertainties related to overcoming the technical challenges in the short to medium term, and the uncertainty regarding the market and related economy of scale effects, the central price estimate for 2030 is higher than described in ref 13, namely, 1.0 million EUR/MW, which is in lign with the projection from ref 17.</t>
  </si>
  <si>
    <r>
      <t xml:space="preserve">The SOEC stack costs predicted here are based on the detailed cost assessments of SOFC modules reported in references [4,5]. It has been documented that SOEC’s can run at much higher power density compared to SOFC’s. Here it is assumed that the SOEC stacks can be operated at four times the power density used for SOFC in the reference material [4,5] and a production volume between 5 and 10 MW/year in 2020, that increases 25 times to between 100 and 250 MW/year in 2050. This gives a SOEC stack cost of </t>
    </r>
    <r>
      <rPr>
        <b/>
        <sz val="9"/>
        <rFont val="Arial"/>
        <family val="2"/>
      </rPr>
      <t>376</t>
    </r>
    <r>
      <rPr>
        <sz val="9"/>
        <rFont val="Arial"/>
        <family val="2"/>
      </rPr>
      <t xml:space="preserve"> €/kW in 2020, </t>
    </r>
    <r>
      <rPr>
        <b/>
        <sz val="9"/>
        <rFont val="Arial"/>
        <family val="2"/>
      </rPr>
      <t>43</t>
    </r>
    <r>
      <rPr>
        <sz val="9"/>
        <rFont val="Arial"/>
        <family val="2"/>
      </rPr>
      <t xml:space="preserve"> €/kW in 2030 and </t>
    </r>
    <r>
      <rPr>
        <b/>
        <sz val="9"/>
        <rFont val="Arial"/>
        <family val="2"/>
      </rPr>
      <t>36</t>
    </r>
    <r>
      <rPr>
        <sz val="9"/>
        <rFont val="Arial"/>
        <family val="2"/>
      </rPr>
      <t xml:space="preserve"> €/kW in 2050, where the dominating price reduction factor, between 2020 and 2050, comes from mass production of the stacks.</t>
    </r>
  </si>
  <si>
    <t>From the turnkey price the following expenses are included in the equipment cost: SOEC stack, heat exchangers, blower, pump, piping, electronics and delivery.</t>
  </si>
  <si>
    <t>The expenses not included in the equipment price are included in the installation cost, that is: land, contingency, contractors, legal fees, construction, engineering, yard improvements, buildings, electrics, piping, instrumentation and installation and grid connection.</t>
  </si>
  <si>
    <t xml:space="preserve">The O&amp;M is assumed to be 3% of the turnkey price per year. Included in this number is the replacement cost of SOEC stacks which is less than 1% of the turnkey price per year of the assumed lifetime of the system. A O&amp;M cost of 2% and 5% is assumed for lower and upper uncertainty, respectively. </t>
  </si>
  <si>
    <t>The O&amp;M cost is composed of 5%, 2% and 1.64% of the turnkey price per year for a plant size of 1 MW, 15 MW and 50 MW respectively [13], in addition to the cost of exchanging stacks over the technical lifetime of the plant.</t>
  </si>
  <si>
    <t>[1]</t>
  </si>
  <si>
    <t>Partnerskabet for brint og brændselsceller, Elektrolyse i Danmark, 2009</t>
  </si>
  <si>
    <t>[2]</t>
  </si>
  <si>
    <t>SOEC Roadmap Steam electrolysis, version 0.5, 2012 http://www.hydrogennet.dk/fileadmin/user_upload/PDF-filer/Partnerskabet/Strategier/SOEC-roadmap_steam_electrolysis_Final1.pdf</t>
  </si>
  <si>
    <t>[3]</t>
  </si>
  <si>
    <t>SOEC Roadmap Co- electrolysis, version 0.5, 2012 http://www.hydrogennet.dk/fileadmin/user_upload/PDF-filer/Partnerskabet/Strategier/SOEC-roadmap-co_electrolysis_Final1.pdf</t>
  </si>
  <si>
    <t>[4]</t>
  </si>
  <si>
    <t>Fuel Cell and Hydrogen Joint Undertaking: “Multi – Annual Work Plan 2014-2020”, adopted 2014-06-30</t>
  </si>
  <si>
    <t>[5]</t>
  </si>
  <si>
    <t>Thijssen, J. The Impact of Scale-Up and Production Volume on SOFC Manufacturing cost, National Energy Technology Laboratory and the US Department of Energy (DOE) 2007</t>
  </si>
  <si>
    <t>[6]</t>
  </si>
  <si>
    <t>Thijssen, J. Natural Gas-Fueled Distributed Generation Solid Oxide Fuel Cell Systems, US Department of Energy, National Energy Technology Laboratory, and RDS 2009.</t>
  </si>
  <si>
    <t>[7]</t>
  </si>
  <si>
    <t>TECHNOLOGY DATA FOR HIGH TEMPERATURE SOLID OXIDE ELECTROLYSER CELLS, ALKALI AND PEM ELECTROLYSERS, Aalborg University, 2013, Brian Vad Mathiesen et al.</t>
  </si>
  <si>
    <t>[8]</t>
  </si>
  <si>
    <t>Claus Friis Pedersen, Haldor Topsøe A/S, Personal communication.</t>
  </si>
  <si>
    <t>[9]</t>
  </si>
  <si>
    <t>"Capital cost scaling methodology - quality guidelines for energy systems studies" (National Energy Technology Laboratory, US, 2013)</t>
  </si>
  <si>
    <t>[10]</t>
  </si>
  <si>
    <t>S. L. Ebbehøj, Integration of CO2 air capture and solid oxide electrolysis for methane production,  2015, DTU Energy, Technical University of Denmark.</t>
  </si>
  <si>
    <t>[13]</t>
  </si>
  <si>
    <t>Mýrdal J.S.G., Hendriksen P.V., Graves C., Jensen S.H. and Nielsen E.R., DTU Energy, Technical University of Denmark, October 2016. “Predicting the price of solid oxide electrolysers (SOECs)“</t>
  </si>
  <si>
    <t>[14]</t>
  </si>
  <si>
    <t>"Technology Roadmap - Hydrogen and Fuel Cells", 2015, International Energy Agency*</t>
  </si>
  <si>
    <t>[17]</t>
  </si>
  <si>
    <t>"Development of Water Electrolysis in the European Union", 2014, E4tech with Element Energy Ltd. for the Fuel Cells and Hydrogen Joint Undertaking</t>
  </si>
  <si>
    <t>Lasse Røngaard Clausen and Peter Vang Hendriksen, DTU, Personal communication.</t>
  </si>
  <si>
    <t>An asterisk in the reference indicate high uncertainty or "guesstimate", where more certain data where not available</t>
  </si>
  <si>
    <t>Typical total plant size (MWe)</t>
  </si>
  <si>
    <t>4, 5, 6, 7, 8</t>
  </si>
  <si>
    <t>A) Hydrogen output (% total size) (LHV)</t>
  </si>
  <si>
    <t>B, C, K</t>
  </si>
  <si>
    <t>14, 15</t>
  </si>
  <si>
    <t>Specific investment (M€-2015 per MWe)</t>
  </si>
  <si>
    <t>E, F</t>
  </si>
  <si>
    <t>Fixed O&amp;M (€-2015 per MWe a year)</t>
  </si>
  <si>
    <t xml:space="preserve"> G, B</t>
  </si>
  <si>
    <t>Variable O&amp;M (€-2015 per MWel)</t>
  </si>
  <si>
    <t>Operating temperature</t>
  </si>
  <si>
    <t>The stack size is expected to be up to 1.5 MWe by 2020</t>
  </si>
  <si>
    <t>O&amp;M cost are estimated to be 5 % of investment cost in accordance with [15]. It has not been possible to distribute O&amp;M cost between fixed and variable elements.  All O&amp;M costs are therefore allocated to fixed cost which are assumed to be dominating.</t>
  </si>
  <si>
    <t>LHV considered (10,797.05 kJ/Nm3)</t>
  </si>
  <si>
    <t>The waste heat is presently not utilised in large commercial systems, but IRD has proven that it is possible to utilise the waste heat in a simple design. The 2030 and 2050 numbers are estimates based on the average hydrogen production lifetime efficiencies. Improvements in efficiency will entail less waste heat to utilise. Values specified are for the beginning of the lifetime</t>
  </si>
  <si>
    <t>Cost estimates and uncertainties are based on the review of different literature sources in the technology description, section: Prediction of cost and performance.</t>
  </si>
  <si>
    <t>Incl. power supply, system control, gas drying (purity above 99.4%); excl. grid connection, external compression, external purification and hydrogen storage. Central values are listed (2050 is estimated); although the range is rather large</t>
  </si>
  <si>
    <t>Including stack exchange cost</t>
  </si>
  <si>
    <t>Operational temperature and heat utilization temperature. The 2015 operational temperature is informed by Proton-On-Site 2013</t>
  </si>
  <si>
    <t>2014: Proven by IRD for a µPEMEC system</t>
  </si>
  <si>
    <t>Cold start-up time is approx. 5 minutes for state of the art plants today. Future expectations are based on [20]</t>
  </si>
  <si>
    <t>Uncertainties for efficiencies based on [14] and [15]</t>
  </si>
  <si>
    <t xml:space="preserve">Bertuccioli, L; Chan, A; Hart, D; Lehner, F; Madden, B &amp; Standen, E (2014): Development of Water Electrolysis in the European Union. Final report. Available on-line at  http://www.fch-ju.eu/sites/default/files/study%20electrolyser_0-Logos_0.pdf </t>
  </si>
  <si>
    <t>Arico A. S., Briguglio N., Siracusano S. et al., 2013: Polymer electrolyte membrane water electrolysis: status of technologies and potential applications in combination with renewable power sources. Journal of Applied Electrochemistry 43 (2) 107-118</t>
  </si>
  <si>
    <r>
      <t xml:space="preserve">2015: PEMEC is available in various sizes ranging from </t>
    </r>
    <r>
      <rPr>
        <sz val="9"/>
        <color rgb="FF000000"/>
        <rFont val="Arial"/>
        <family val="2"/>
      </rPr>
      <t>0.00011 MW</t>
    </r>
    <r>
      <rPr>
        <vertAlign val="subscript"/>
        <sz val="9"/>
        <color rgb="FF000000"/>
        <rFont val="Arial"/>
        <family val="2"/>
      </rPr>
      <t>e</t>
    </r>
    <r>
      <rPr>
        <sz val="9"/>
        <color rgb="FF000000"/>
        <rFont val="Arial"/>
        <family val="2"/>
      </rPr>
      <t xml:space="preserve"> to +1 MW</t>
    </r>
    <r>
      <rPr>
        <vertAlign val="subscript"/>
        <sz val="9"/>
        <color rgb="FF000000"/>
        <rFont val="Arial"/>
        <family val="2"/>
      </rPr>
      <t>e</t>
    </r>
    <r>
      <rPr>
        <sz val="9"/>
        <color rgb="FF000000"/>
        <rFont val="Arial"/>
        <family val="2"/>
      </rPr>
      <t>, cf. Ref.5-8</t>
    </r>
  </si>
  <si>
    <t xml:space="preserve">Protonon site, http://protononsite.com/, 2013 </t>
  </si>
  <si>
    <t>Itm-power, http://www.itm-power.com/products/, 2013</t>
  </si>
  <si>
    <t>http://www.ceth.fr/products-PEM-electrolyser.php, 2013</t>
  </si>
  <si>
    <t xml:space="preserve">Mathiesen Brian Vad  et al., Aalborg University, 2013, "TECHNOLOGY DATA FOR HIGH TEMPERATURE SOLID OXIDE ELECTROLYSER CELLS, ALKALI AND PEM ELECTROLYSERS" </t>
  </si>
  <si>
    <t>[15]</t>
  </si>
  <si>
    <t>International Energy Agency, 2015, "Technology Roadmap - Hydrogen and Fuel Cells"</t>
  </si>
  <si>
    <t>[20]</t>
  </si>
  <si>
    <t>New Energy World,, 2014. FUEL CELLS AND HYDROGEN JOINT UNDERTAKING (FCH JU) Multi - Annual Work Plan 2014 - 2020. Adopted by the FCH2 JU Governing Board on 30/06/2014, http://www.fch.europa.eu/sites/default/files/documents/FCH2%20JU%20-%20Multi%20Annual%20Work%20Plan%20-%20MAWP_en_0.pdf , accessed 26-09-2017</t>
  </si>
  <si>
    <t>*</t>
  </si>
  <si>
    <t>AEC - Alkaline Electrolyser</t>
  </si>
  <si>
    <t>A) Hydrogen output (% total size), at LHV</t>
  </si>
  <si>
    <t>1, 3, 4</t>
  </si>
  <si>
    <t>B, E</t>
  </si>
  <si>
    <t>1, 4</t>
  </si>
  <si>
    <t>1, 3</t>
  </si>
  <si>
    <t>B, C</t>
  </si>
  <si>
    <t>Variable O&amp;M (€-2015 per MWe)</t>
  </si>
  <si>
    <t>Since electricity is the only input, the typical capacity plant size can be equally referred to as MJ/s or MWe</t>
  </si>
  <si>
    <t>Considering the recent drop in observed prices we consider a price of 0.6 mill EUR/MWe realistic for a medium scale plant (10 MW) by 2020 including installation and grid connection. Only a moderate cost reduction is assumed thereafter. For large scale electrolysers cost may be lower.</t>
  </si>
  <si>
    <t>O&amp;M cost are estimated to be 5 % of investment cost in accordance with [7]</t>
  </si>
  <si>
    <t>Efficiencies at lower heating value (LHV). Efficiencies for 2015 and 2020 are based on a commercial atmospherics system from NEL according to [7]. Efficiencies for 2030 and 2050 are based on expectations from GreenHydrogen according to [7]. Uncertainties for efficiencies estimated from [4] and the concepts mentioned in "Example of market standard technology".</t>
  </si>
  <si>
    <t>E Uncertainties for specific investments estimated from the concepts mentioned in "Example of market standard technology" and [5] for 2050.</t>
  </si>
  <si>
    <t>Ramping data for 2015 and 2020 are based on a commercial atmospherics system from NEL according to [7]. Ramping data for 2030 and 2050 are based on expectations from GreenHydrogen according to [7], assuming the electrolysers are pressurised. Uncertainties for efficiencies estimated from [4] and the concepts mentioned in "Example of market standard technology".</t>
  </si>
  <si>
    <t>DGC Customer report December 2013, Update of technology data for energy plants; page 12</t>
  </si>
  <si>
    <t>Nel-hydrogen.com</t>
  </si>
  <si>
    <t>Study on development of water electrolysis in the EU February 2014</t>
  </si>
  <si>
    <t>DNV KEMA Energy &amp; Sustainability; Systems Analyses Power to Gas – Deliverable 1: Technology Review, June 2013</t>
  </si>
  <si>
    <t>Technology Data for Hydrogen Technologies”. Prepared as part of the project  “Analysis for Commercialization of Hydrogen Technologies”  under the Danish Energy Technology Development and Demonstration Program (EUDP) (Ea Energianalyse, 2016).</t>
  </si>
  <si>
    <t xml:space="preserve">Technology Data for Energy Carrier Generation and Conversion June 2017
</t>
  </si>
  <si>
    <t xml:space="preserve"> CFB (Circulating fluid bed) gasifiers , biomass, bio-SNG, medium - large scale</t>
  </si>
  <si>
    <t>SOEC (Solid Oxide Electrolyzer Cell)</t>
  </si>
  <si>
    <t>LT PEM EC (Low Temperature Proton Exchange Membrane Electrolyser Cell )</t>
  </si>
  <si>
    <t>Vegetable Oil FAME</t>
  </si>
  <si>
    <t>Typical total plant size 1,000 t biodiesel/year</t>
  </si>
  <si>
    <t>A1</t>
  </si>
  <si>
    <t xml:space="preserve"> Inputs</t>
  </si>
  <si>
    <t>Veg Oil Consumption, MWh/MWh Total Input</t>
  </si>
  <si>
    <t>E,I</t>
  </si>
  <si>
    <t>Methanol Consumption, MWh/MWh Total Input</t>
  </si>
  <si>
    <t>B,E,I</t>
  </si>
  <si>
    <t>Electricity Consumption, MWh/MWh Total Input</t>
  </si>
  <si>
    <t>Natural Gas Consumption, MWh/MWh Total Input</t>
  </si>
  <si>
    <t>Biodiesel Output, MWh/MWh Total Input</t>
  </si>
  <si>
    <t>Glycerine  Output, MWh/MWh Total Input</t>
  </si>
  <si>
    <t>Specific investment (M € /1,000 t biodiesel/year)</t>
  </si>
  <si>
    <t>C, J, L</t>
  </si>
  <si>
    <t>- equipment (%)</t>
  </si>
  <si>
    <t>75</t>
  </si>
  <si>
    <t>- installation (%)</t>
  </si>
  <si>
    <t>25</t>
  </si>
  <si>
    <t>Fixed O&amp;M (M € /1,000 t biodiesel)</t>
  </si>
  <si>
    <t>D, K, L</t>
  </si>
  <si>
    <t>Variable O&amp;M (M € /1,000 t biodiesel)</t>
  </si>
  <si>
    <t>Specific energy content (GJ/ton) biodiesel)</t>
  </si>
  <si>
    <t xml:space="preserve">A. The plant size is assumed based on the plants sizes of existing vegetable oil based bio-diesel plants in EU. </t>
  </si>
  <si>
    <t>A1. This value is the hourly rating and has been calculated as if the unit produces 100,000 t/year and was in operations 8,000 h/year.</t>
  </si>
  <si>
    <t xml:space="preserve">B. Energy input from supporting chemicals of minor amounts is not considered. </t>
  </si>
  <si>
    <t xml:space="preserve">C. The total capital cost include total installed cost (total direct costs) and all indirect costs such as engineering, construction, contractor’s fee, contingency and working capital. </t>
  </si>
  <si>
    <t xml:space="preserve">D. O&amp;M costs, costs for main raw materials are not included </t>
  </si>
  <si>
    <t>E. 2050 values are based on industry best plant in 2015. 2020 and 2030 values interpolated between 2015 and 2050 values.</t>
  </si>
  <si>
    <t>F. Total output excludes the heat loss.</t>
  </si>
  <si>
    <t>G. Estimated from Iowa State biodiesel profitability file.</t>
  </si>
  <si>
    <t>H. Best plants operate at greater than 95% of capacity.</t>
  </si>
  <si>
    <t>I. The uncertainty is one standard deviation from the average from the NBB survey.</t>
  </si>
  <si>
    <t>J. Range of capital cost is +/- 25% of mean.</t>
  </si>
  <si>
    <t>K. Operating cost is +/- 10% of mean.</t>
  </si>
  <si>
    <t>L. M €/k tonne is million euro per 1,000 tonnes</t>
  </si>
  <si>
    <t>References</t>
  </si>
  <si>
    <t xml:space="preserve">[2]     International Institute for Sustainable Development. 2012. Biofuels – At What Cost? Mandating ethanol and biodiesel consumption in Germany. https://www.iisd.org/gsi/sites/default/files/bf_awc_germany.pdf </t>
  </si>
  <si>
    <t xml:space="preserve">[3]     Desmet Ballestra. 2015. Biodiesel. http://www.desmetballestra.com/images/PDF-Brochures-2014/Biodiesel2015.pdf </t>
  </si>
  <si>
    <t xml:space="preserve">[4]     US Energy Information Administration. 2015. International Energy Statistics. Biofuels Production. http://www.eia.gov/cfapps/ipdbproject/IEDIndex3.cfm?tid=79&amp;pid=79&amp;aid=1 </t>
  </si>
  <si>
    <t xml:space="preserve">[5]     Energy Statistics 2015. https://ens.dk/sites/ens.dk/files/Statistik/energy_statistics_2015.pdf  </t>
  </si>
  <si>
    <t>[6]     IEA Bioenergy Task 39. Newsletter #39. Denmark Feature. http://task39.sites.olt.ubc.ca/files/2015/06/IEA-Bioenergy-Task-39-Newsletter-Issue-39-May-2015-final.pdf</t>
  </si>
  <si>
    <t xml:space="preserve">[7]     Chen, R., Qin, Z., Han, J., Wang, M., Taheripour, F., Tyner, W., O'Connor, D., Duffield, J. 2018. Life cycle energy and greenhouse gas emission effects of biodiesel in the United States with induced land use change impacts. Bioresource Technology, Volume 251, 2018, Pages 249-258, ISSN 0960-8524, https://doi.org/10.1016/j.biortech.2017.12.031.   </t>
  </si>
  <si>
    <t xml:space="preserve">[8]     Cargill. 2017. Cargill to build state of- the-art biodiesel plant in Wichita, Kansas. https://www.cargill.com/2017/cargill-to-build-state-of-the-art-biodiesel-plant-in-wichita-ks </t>
  </si>
  <si>
    <t xml:space="preserve">[9]     IRENA. 2013. Road Transport: The Cost of Renewable Solutions. http://www.irena.org/-/media/Files/IRENA/Agency/Publication/2013/Road_Transport.ashx </t>
  </si>
  <si>
    <t xml:space="preserve">[10] Berghout, Niels. (2008). Technological learning in the German biodiesel industry: An experience curve approach to quantify reductions in production costs, energy use and greenhouse gas emissions. http://task39.sites.olt.ubc.ca/files/2013/05/Technological-learning-in-the-German-Biodiesel-Industry.pdf </t>
  </si>
  <si>
    <t xml:space="preserve">[11] Iowa State University. 2017. Biodiesel Profitability. http://www.extension.iastate.edu/agdm/energy/xls/d1-15biodieselprofitability.xlsx </t>
  </si>
  <si>
    <t>Typical total plant size 1,000 t HVO/year</t>
  </si>
  <si>
    <t>A, B</t>
  </si>
  <si>
    <t>Typical total plant size MW HVO</t>
  </si>
  <si>
    <t>A, A1, B</t>
  </si>
  <si>
    <t>Feedstock Consumption, MWh/MWh Total Inputs</t>
  </si>
  <si>
    <t>3,4,11</t>
  </si>
  <si>
    <t>Hydrogen Consumption, MWh/MWh Total Inputs</t>
  </si>
  <si>
    <t>C, D</t>
  </si>
  <si>
    <t>Electricity Consumption, MWh/MWh Total Inputs</t>
  </si>
  <si>
    <t>Natural Gas Consumption, MWh/MWh Total Inputs</t>
  </si>
  <si>
    <t>HVO Output, MWh/MWh Total Input</t>
  </si>
  <si>
    <t>C, H</t>
  </si>
  <si>
    <t>Specific investment (M € /1,000 t HVO)</t>
  </si>
  <si>
    <t>E, J, L</t>
  </si>
  <si>
    <t>10, 12</t>
  </si>
  <si>
    <t xml:space="preserve"> - equipment (%)</t>
  </si>
  <si>
    <t xml:space="preserve"> -installation (%)</t>
  </si>
  <si>
    <t>Fixed O&amp;M (M € /1,000 t HVO)</t>
  </si>
  <si>
    <t>F, K, L</t>
  </si>
  <si>
    <t>Variable O&amp;M (M € /1,000 t HVO)</t>
  </si>
  <si>
    <t xml:space="preserve">Specific energy content (GJ/ton) </t>
  </si>
  <si>
    <r>
      <t>A.</t>
    </r>
    <r>
      <rPr>
        <sz val="7"/>
        <color rgb="FF000000"/>
        <rFont val="Times New Roman"/>
        <family val="1"/>
      </rPr>
      <t xml:space="preserve">     </t>
    </r>
    <r>
      <rPr>
        <sz val="8"/>
        <color rgb="FF000000"/>
        <rFont val="Arial"/>
        <family val="2"/>
      </rPr>
      <t xml:space="preserve">The plant size is assumed based on the plants sizes of existing HVO plants. </t>
    </r>
  </si>
  <si>
    <t>A1. This value is the hourly rating and has been calculated as if the unit produces at capacity and was in operations 8,000 h/year.</t>
  </si>
  <si>
    <r>
      <t>B.</t>
    </r>
    <r>
      <rPr>
        <sz val="7"/>
        <color rgb="FF000000"/>
        <rFont val="Times New Roman"/>
        <family val="1"/>
      </rPr>
      <t xml:space="preserve">     </t>
    </r>
    <r>
      <rPr>
        <sz val="8"/>
        <color rgb="FF000000"/>
        <rFont val="Arial"/>
        <family val="2"/>
      </rPr>
      <t xml:space="preserve">The plant size uncertainty represents the current range in the market. </t>
    </r>
  </si>
  <si>
    <r>
      <t>C.</t>
    </r>
    <r>
      <rPr>
        <sz val="7"/>
        <color rgb="FF000000"/>
        <rFont val="Times New Roman"/>
        <family val="1"/>
      </rPr>
      <t xml:space="preserve">     </t>
    </r>
    <r>
      <rPr>
        <sz val="8"/>
        <color rgb="FF000000"/>
        <rFont val="Arial"/>
        <family val="2"/>
      </rPr>
      <t>Performance is typical based on public data and confidential data reviewed by (S&amp;T)</t>
    </r>
    <r>
      <rPr>
        <vertAlign val="superscript"/>
        <sz val="8"/>
        <color rgb="FF000000"/>
        <rFont val="Arial"/>
        <family val="2"/>
      </rPr>
      <t>2</t>
    </r>
    <r>
      <rPr>
        <sz val="8"/>
        <color rgb="FF000000"/>
        <rFont val="Arial"/>
        <family val="2"/>
      </rPr>
      <t xml:space="preserve"> Consultants Inc.</t>
    </r>
  </si>
  <si>
    <r>
      <t>D.</t>
    </r>
    <r>
      <rPr>
        <sz val="7"/>
        <color rgb="FF000000"/>
        <rFont val="Times New Roman"/>
        <family val="1"/>
      </rPr>
      <t xml:space="preserve">     </t>
    </r>
    <r>
      <rPr>
        <sz val="8"/>
        <color rgb="FF000000"/>
        <rFont val="Arial"/>
        <family val="2"/>
      </rPr>
      <t>Hydrogen consumption is also a function of the feedstock to a small degree.</t>
    </r>
  </si>
  <si>
    <r>
      <t>E.</t>
    </r>
    <r>
      <rPr>
        <sz val="7"/>
        <color rgb="FF000000"/>
        <rFont val="Times New Roman"/>
        <family val="1"/>
      </rPr>
      <t xml:space="preserve">     </t>
    </r>
    <r>
      <rPr>
        <sz val="8"/>
        <color rgb="FF000000"/>
        <rFont val="Arial"/>
        <family val="2"/>
      </rPr>
      <t xml:space="preserve">The total capital cost include total installed cost (total direct costs) and all indirect costs such as engineering, construction, contractor’s fee, contingency and working capital. </t>
    </r>
  </si>
  <si>
    <r>
      <t>F.</t>
    </r>
    <r>
      <rPr>
        <sz val="7"/>
        <color rgb="FF000000"/>
        <rFont val="Times New Roman"/>
        <family val="1"/>
      </rPr>
      <t xml:space="preserve">     </t>
    </r>
    <r>
      <rPr>
        <sz val="8"/>
        <color rgb="FF000000"/>
        <rFont val="Arial"/>
        <family val="2"/>
      </rPr>
      <t>O&amp;M costs, costs for main raw materials are not included.</t>
    </r>
  </si>
  <si>
    <r>
      <t>G.</t>
    </r>
    <r>
      <rPr>
        <sz val="7"/>
        <color rgb="FF000000"/>
        <rFont val="Times New Roman"/>
        <family val="1"/>
      </rPr>
      <t xml:space="preserve">    </t>
    </r>
    <r>
      <rPr>
        <sz val="8"/>
        <color rgb="FF000000"/>
        <rFont val="Arial"/>
        <family val="2"/>
      </rPr>
      <t>There is limited potential for process improvements.</t>
    </r>
  </si>
  <si>
    <r>
      <t>H.</t>
    </r>
    <r>
      <rPr>
        <sz val="7"/>
        <color rgb="FF000000"/>
        <rFont val="Times New Roman"/>
        <family val="1"/>
      </rPr>
      <t xml:space="preserve">     </t>
    </r>
    <r>
      <rPr>
        <sz val="8"/>
        <color rgb="FF000000"/>
        <rFont val="Arial"/>
        <family val="2"/>
      </rPr>
      <t>Total output excludes the heat loss.</t>
    </r>
  </si>
  <si>
    <r>
      <t>I.</t>
    </r>
    <r>
      <rPr>
        <sz val="7"/>
        <color rgb="FF000000"/>
        <rFont val="Times New Roman"/>
        <family val="1"/>
      </rPr>
      <t xml:space="preserve">      </t>
    </r>
    <r>
      <rPr>
        <sz val="8"/>
        <color rgb="FF000000"/>
        <rFont val="Arial"/>
        <family val="2"/>
      </rPr>
      <t>Best plants operate at greater than 95% of capacity.</t>
    </r>
  </si>
  <si>
    <r>
      <t>J.</t>
    </r>
    <r>
      <rPr>
        <sz val="7"/>
        <color rgb="FF000000"/>
        <rFont val="Times New Roman"/>
        <family val="1"/>
      </rPr>
      <t xml:space="preserve">     </t>
    </r>
    <r>
      <rPr>
        <sz val="8"/>
        <color rgb="FF000000"/>
        <rFont val="Arial"/>
        <family val="2"/>
      </rPr>
      <t>Range of capital cost is +/- 25% of mean.</t>
    </r>
  </si>
  <si>
    <r>
      <t>K.</t>
    </r>
    <r>
      <rPr>
        <sz val="7"/>
        <color rgb="FF000000"/>
        <rFont val="Times New Roman"/>
        <family val="1"/>
      </rPr>
      <t xml:space="preserve">     </t>
    </r>
    <r>
      <rPr>
        <sz val="8"/>
        <color rgb="FF000000"/>
        <rFont val="Arial"/>
        <family val="2"/>
      </rPr>
      <t>Operating cost uncertainty is +/- 10% of mean.</t>
    </r>
  </si>
  <si>
    <r>
      <t>L.</t>
    </r>
    <r>
      <rPr>
        <sz val="7"/>
        <color rgb="FF000000"/>
        <rFont val="Times New Roman"/>
        <family val="1"/>
      </rPr>
      <t xml:space="preserve">     </t>
    </r>
    <r>
      <rPr>
        <sz val="8"/>
        <color rgb="FF000000"/>
        <rFont val="Arial"/>
        <family val="2"/>
      </rPr>
      <t xml:space="preserve"> M €/k tonne is million euro per 1,000 tonnes</t>
    </r>
  </si>
  <si>
    <t>[1]     Neste. 2013. North American Tallow Pathway Description. https://www.arb.ca.gov/fuels/lcfs/2a2b/apps/nes-na-tallow-rpt-011414.pdf</t>
  </si>
  <si>
    <t>[2]     US EPA. 2017. EPA Approval for REG Geismar. https://www.epa.gov/sites/production/files/2017-05/documents/reg-geismar-deter-ltr-2017-04-13.pdf</t>
  </si>
  <si>
    <t>[3]     Kalnes, T et al. 2012. Green diesel production by hydrorefining renewable feedstocks. https://www.uop.com/wp-content/uploads/2012/12/UOP-Hydrorefining-Green-Diesel-Tech-Paper.pdf</t>
  </si>
  <si>
    <t xml:space="preserve">[4]     de Jong, S., Hoefnagels, R., Faaij, A., Slade, R., Mawhood, R. and Junginger, M. 2015. The feasibility of short-term production strategies for renewable jet fuels – a comprehensive techno-economic comparison. Biofuels, Bioprod. Bioref., 9: 778–800. https://www.doi.org/10.1002/bbb.1613   </t>
  </si>
  <si>
    <t xml:space="preserve">[5]     Neste Financial Statements. https://www.neste.com/en/corporate-info/investors/financials </t>
  </si>
  <si>
    <t>[6]     US Energy Information Administration. New York Harbour ULSD Price. https://www.eia.gov/dnav/pet/pet_pri_spt_s1_d.htm</t>
  </si>
  <si>
    <t xml:space="preserve">[7]     Iowa State University. 2017. Biodiesel Profitability. http://www.extension.iastate.edu/agdm/energy/xls/d1-15biodieselprofitability.xlsx </t>
  </si>
  <si>
    <t>[8]     Rogelio Sotelo-Boyás, Fernando Trejo-Zárraga and Felipe de Jesús Hernández-Loyo (2012). Hydroconversion of Triglycerides into Green Liquid Fuels, Hydrogenation, Prof. Iyad Karamé (Ed.), InTech, DOI: 10.5772/48710. Available from: https://www.intechopen.com/books/hydrogenation/hydroconversion-of-triglycerides-into-green-liquid-fuels</t>
  </si>
  <si>
    <t>[9]     Tao, L., Milbrandt, A., Zhang, Y. and Wang, W. 2017. Techno-economic and resource analysis of hydroprocessed renewable jet fuel. Biotechnology for Biofuels 2017 10:261. https://doi.org/10.1186/s13068-017-0945-3</t>
  </si>
  <si>
    <t xml:space="preserve">[10] Miller, P., Kumar, A. 2014. Techno-economic assessment of hydrogenation-derived renewable diesel production from canola and camelina, In Sustainable Energy Technologies and Assessments, Volume 6, 2014, Pages 105-115, ISSN 2213-1388, https://doi.org/10.1016/j.seta.2014.01.008 </t>
  </si>
  <si>
    <t xml:space="preserve">[11] Diamond Green Diesel. Press release. 2016. https://www.prnewswire.com/news-releases/diamond-green-diesel-to-be-expanded-to-275-million-gallons-annually-300248085.html </t>
  </si>
  <si>
    <t xml:space="preserve">[12] Neste Renewable Diesel Handbook. https://www.neste.com/sites/default/files/attachments/neste_renewable_diesel_handbook.pdf </t>
  </si>
  <si>
    <t xml:space="preserve">[13] Sub Group on Advanced Biofuels. 2017. Cost of Biofuel. http://platformduurzamebiobrandstoffen.nl/wp-content/uploads/2017/07/2017_SGAB_Cost-of-Biofuels.pdf </t>
  </si>
  <si>
    <t>HVO Jet Fuel</t>
  </si>
  <si>
    <t>C, G</t>
  </si>
  <si>
    <t>2,3</t>
  </si>
  <si>
    <t>C,D, G</t>
  </si>
  <si>
    <t>HVO Jet Output, GJ/GJ Total Input</t>
  </si>
  <si>
    <t>A, E, J, L</t>
  </si>
  <si>
    <t>Start-up (M € /1,000 t HVO Jet)</t>
  </si>
  <si>
    <r>
      <t>A.</t>
    </r>
    <r>
      <rPr>
        <sz val="7"/>
        <color rgb="FF000000"/>
        <rFont val="Times New Roman"/>
        <family val="1"/>
      </rPr>
      <t xml:space="preserve">     </t>
    </r>
    <r>
      <rPr>
        <sz val="8"/>
        <color rgb="FF000000"/>
        <rFont val="Arial"/>
        <family val="2"/>
      </rPr>
      <t>The plant size is assumed based on the plants sizes of existing HVO plants. Jet production is 80% of HVO diesel production with the other 20% representing increased co-products.</t>
    </r>
  </si>
  <si>
    <r>
      <t>C.</t>
    </r>
    <r>
      <rPr>
        <sz val="7"/>
        <color rgb="FF000000"/>
        <rFont val="Times New Roman"/>
        <family val="1"/>
      </rPr>
      <t xml:space="preserve">     </t>
    </r>
    <r>
      <rPr>
        <sz val="8"/>
        <color rgb="FF000000"/>
        <rFont val="Arial"/>
        <family val="2"/>
      </rPr>
      <t>Performance is typical based similar performance to HVO diesel but with less primary product and more co-products.</t>
    </r>
  </si>
  <si>
    <r>
      <t>L.</t>
    </r>
    <r>
      <rPr>
        <sz val="7"/>
        <color rgb="FF000000"/>
        <rFont val="Times New Roman"/>
        <family val="1"/>
      </rPr>
      <t xml:space="preserve">     </t>
    </r>
    <r>
      <rPr>
        <sz val="8"/>
        <color rgb="FF000000"/>
        <rFont val="Arial"/>
        <family val="2"/>
      </rPr>
      <t>M €/k tonne is million euro per 1,000 tonnes.</t>
    </r>
  </si>
  <si>
    <t xml:space="preserve">[1]     AltAir. 2017. The Department of Energy: Wet and Gaseous Feedstocks: Barriers and Opportunities. https://energy.gov/sites/prod/files/2017/07/f35/BETO_2017WTE-Workshop_BryanSherbacow-AltAir.pdf </t>
  </si>
  <si>
    <t xml:space="preserve">[2]     Antonissen, K. 2016. Greenhouse gas performance of renewable jet fuel: a comparison of conversion pathways. https://dspace.library.uu.nl/bitstream/handle/1874/347665/MSc%20Thesis%20K.Y%20Antonissen%2c%20May%202016%20%281%29.pdf?sequence=2&amp;isAllowed=y </t>
  </si>
  <si>
    <t xml:space="preserve">[3]     de Jong, S., Antonissen, K., Hoefnagels, R., Lonza, L., Wang, M., Faaij, A., and Junginger, M. 2017. Life-cycle analysis of greenhouse gas emissions from renewable jet fuel production. Biotechnology for Biofuels201710:64. https://doi.org/10.1186/s13068-017-0739-7 </t>
  </si>
  <si>
    <t xml:space="preserve">[4]     Tao, L., Milbrandt, A., Zhang, Y., and Wang, W. 2017. Techno‑economic and resource analysis of hydroprocessed renewable jet fuel. Biotechnology for Biofuels. 10:261. https://doi.org/10.1186/s13068-017-0945-3 </t>
  </si>
  <si>
    <t xml:space="preserve">[5]     Starck, L., Pidol, L., Jeuland, N., Chapus, T., Bogers, P., Bauldreay, J. 2016. Production of Hydroprocessed Esters and Fatty Acids (HEFA) - Optimization of Process Yield. Oil Gas Sci. Technol. - Rev. IFP Energies nouvelles. Volume 71, Number 1, January-February 2016. https://doi.org/10.2516/ogst/2014007 </t>
  </si>
  <si>
    <t xml:space="preserve">[6]     Stratton et al. 2010. Life Cycle Greenhouse Gas Emissions from Alternative Jet Fuels. http://web.mit.edu/aeroastro/partner/reports/proj28/partner-proj28-2010-001.pdf </t>
  </si>
  <si>
    <t xml:space="preserve">[7]     de Jong, S., Hoefnagels, R., Faaij, A., Slade, R., Mawhood, R. and Junginger, M. 2015. The feasibility of short-term production strategies for renewable jet fuels – a comprehensive techno-economic comparison. Biofuels, Bioprod. Bioref., 9: 778–800. https://www.doi.org/10.1002/bbb.1613   </t>
  </si>
  <si>
    <t>Ethanol/year, 1,000 tonnes/year</t>
  </si>
  <si>
    <t>Ethanol/year, MW</t>
  </si>
  <si>
    <t>Feedstock Consumption, MWh/MWh Total Input</t>
  </si>
  <si>
    <t>Ethanol Output, MWh/MWh Total Inputs</t>
  </si>
  <si>
    <t>DDG  Output, MWh/MWh Total Input</t>
  </si>
  <si>
    <t>Specific investment (M€ /1,000 t Ethanol)</t>
  </si>
  <si>
    <t>I, J</t>
  </si>
  <si>
    <t>Fixed O&amp;M (M€ /1,000 t Ethanol)</t>
  </si>
  <si>
    <t>Variable O&amp;M (M€ /1,000 t Ethanol)</t>
  </si>
  <si>
    <t>G, B, J</t>
  </si>
  <si>
    <t>Start-up (M€ /1,000 t Ethanol)</t>
  </si>
  <si>
    <r>
      <t>A.</t>
    </r>
    <r>
      <rPr>
        <sz val="7"/>
        <color rgb="FF000000"/>
        <rFont val="Times New Roman"/>
        <family val="1"/>
      </rPr>
      <t xml:space="preserve">     </t>
    </r>
    <r>
      <rPr>
        <sz val="8"/>
        <color rgb="FF000000"/>
        <rFont val="Arial"/>
        <family val="2"/>
      </rPr>
      <t xml:space="preserve">The plant size is assumed based on the plants sizes of existing ethanol plants. </t>
    </r>
  </si>
  <si>
    <r>
      <t>C.</t>
    </r>
    <r>
      <rPr>
        <sz val="7"/>
        <color rgb="FF000000"/>
        <rFont val="Times New Roman"/>
        <family val="1"/>
      </rPr>
      <t xml:space="preserve">     </t>
    </r>
    <r>
      <rPr>
        <sz val="8"/>
        <color rgb="FF000000"/>
        <rFont val="Arial"/>
        <family val="2"/>
      </rPr>
      <t>The feedstock starch content impacts the yield. Ethanol yields in the United States have been slowly increasing from a combination of improved conversion efficiency and higher starch content of the feedstock.</t>
    </r>
  </si>
  <si>
    <r>
      <t>D.</t>
    </r>
    <r>
      <rPr>
        <sz val="7"/>
        <color rgb="FF000000"/>
        <rFont val="Times New Roman"/>
        <family val="1"/>
      </rPr>
      <t xml:space="preserve">     </t>
    </r>
    <r>
      <rPr>
        <sz val="8"/>
        <color rgb="FF000000"/>
        <rFont val="Arial"/>
        <family val="2"/>
      </rPr>
      <t>The upper and lower values are representative of the range between individual plants.</t>
    </r>
  </si>
  <si>
    <r>
      <t>E.</t>
    </r>
    <r>
      <rPr>
        <sz val="7"/>
        <color rgb="FF000000"/>
        <rFont val="Times New Roman"/>
        <family val="1"/>
      </rPr>
      <t xml:space="preserve">     </t>
    </r>
    <r>
      <rPr>
        <sz val="8"/>
        <color rgb="FF000000"/>
        <rFont val="Arial"/>
        <family val="2"/>
      </rPr>
      <t>Output excludes the low quality waste heat.</t>
    </r>
  </si>
  <si>
    <r>
      <t>F.</t>
    </r>
    <r>
      <rPr>
        <sz val="7"/>
        <color rgb="FF000000"/>
        <rFont val="Times New Roman"/>
        <family val="1"/>
      </rPr>
      <t xml:space="preserve">     </t>
    </r>
    <r>
      <rPr>
        <sz val="8"/>
        <color rgb="FF000000"/>
        <rFont val="Arial"/>
        <family val="2"/>
      </rPr>
      <t>Change over time is a function of increased ethanol yield, which also results in lower DDG yield as the mass must be conserved.</t>
    </r>
  </si>
  <si>
    <r>
      <t>G.</t>
    </r>
    <r>
      <rPr>
        <sz val="7"/>
        <color rgb="FF000000"/>
        <rFont val="Times New Roman"/>
        <family val="1"/>
      </rPr>
      <t xml:space="preserve">    </t>
    </r>
    <r>
      <rPr>
        <sz val="8"/>
        <color rgb="FF000000"/>
        <rFont val="Arial"/>
        <family val="2"/>
      </rPr>
      <t xml:space="preserve">Variable costs are reduced from improved energy efficiency. </t>
    </r>
  </si>
  <si>
    <r>
      <t>H.</t>
    </r>
    <r>
      <rPr>
        <sz val="7"/>
        <color rgb="FF000000"/>
        <rFont val="Times New Roman"/>
        <family val="1"/>
      </rPr>
      <t xml:space="preserve">     </t>
    </r>
    <r>
      <rPr>
        <sz val="8"/>
        <color rgb="FF000000"/>
        <rFont val="Arial"/>
        <family val="2"/>
      </rPr>
      <t>Start-up costs are included on variable costs.</t>
    </r>
  </si>
  <si>
    <r>
      <t>I.</t>
    </r>
    <r>
      <rPr>
        <sz val="7"/>
        <color rgb="FF000000"/>
        <rFont val="Times New Roman"/>
        <family val="1"/>
      </rPr>
      <t xml:space="preserve">      </t>
    </r>
    <r>
      <rPr>
        <sz val="8"/>
        <color rgb="FF000000"/>
        <rFont val="Arial"/>
        <family val="2"/>
      </rPr>
      <t>Capital costs can be site specific and process technology supplier dependent. The costs provided for in the table are from a technology developer with a reputation for low capital costs.</t>
    </r>
  </si>
  <si>
    <r>
      <t>J.</t>
    </r>
    <r>
      <rPr>
        <sz val="7"/>
        <color rgb="FF000000"/>
        <rFont val="Times New Roman"/>
        <family val="1"/>
      </rPr>
      <t xml:space="preserve">     </t>
    </r>
    <r>
      <rPr>
        <sz val="8"/>
        <color rgb="FF000000"/>
        <rFont val="Arial"/>
        <family val="2"/>
      </rPr>
      <t>M €/k tonne is million euro per 1,000 tonnes</t>
    </r>
  </si>
  <si>
    <t xml:space="preserve">[2]     Energy Statistics 2015. https://ens.dk/sites/ens.dk/files/Statistik/energy_statistics_2015.pdf </t>
  </si>
  <si>
    <t xml:space="preserve">[3]     ePure. 2017. Fuel Blends. http://epure.org/about-ethanol/fuel-market/fuel-blends/ </t>
  </si>
  <si>
    <t xml:space="preserve">[5]     Hettinga, W., Junginger, H., Dekker S., Hoogwijk, M., McAloon, A., Hicks, K. 2009. Understanding the reductions in US corn ethanol production costs: An experience curve approach. Energy Policy 37(2009)190–203. http://naldc.nal.usda.gov/download/22550/PDF </t>
  </si>
  <si>
    <t xml:space="preserve">[6]     IEA Bioenergy Task 39. 2009. Potential for Improving Carbon/Energy Balance of Bioethanol. http://task39.sites.olt.ubc.ca/files/2013/05/IEA_Bioenergy_Task-39_Improving_carbon_and_energy_balance.pdf </t>
  </si>
  <si>
    <t>[7]     US Energy Information Administration. 2015. International Energy Statistics.  Biofuels Production. http://www.eia.gov/cfapps/ipdbproject/IEDIndex3.cfm?tid=79&amp;pid=79&amp;aid=1</t>
  </si>
  <si>
    <t>[8]     ePure. 2014. State of the Industry Report 2014. http://epure.org/media/1137/state-of-the-industry-report-2014.pdf</t>
  </si>
  <si>
    <t xml:space="preserve">[9]     ePure. 2017. 2016 Industry Statistics.  http://epure.org/media/1610/2016-industry-statistics.pdf </t>
  </si>
  <si>
    <t xml:space="preserve">[10] Iowa State University. 2017. Ethanol Profitability. http://www.extension.iastate.edu/agdm/energy/xls/d1-10ethanolprofitability.xlsx </t>
  </si>
  <si>
    <t xml:space="preserve">[11] Capital Journal. Oct. 10, 2017.  Ringneck Energy pouring cement, building foundations for ethanol plant near Onida. http://www.capjournal.com/news/ringneck-energy-pouring-cement-building-foundations-for-ethanol-plant-near/article_4ee23aac-adec-11e7-80fb-a7814e744ba7.html  </t>
  </si>
  <si>
    <t xml:space="preserve">[13] Ringneck Energy prospectus. 2016. http://ringneckenergy.com/wp-content/uploads/2016/12/2015_PPM_w_Exhibits.pdf </t>
  </si>
  <si>
    <t>Fast Pyrolysis Bio Oil</t>
  </si>
  <si>
    <t>Typical total plant size 1,000 t Bio Oil/year</t>
  </si>
  <si>
    <t>1, 6</t>
  </si>
  <si>
    <t>Typical total plant size. MW</t>
  </si>
  <si>
    <t>Bio Oil Output, MWh/MWh Total Input</t>
  </si>
  <si>
    <t>n.a.</t>
  </si>
  <si>
    <t>Specific investment (M€ /1,000 t Bio Oil)</t>
  </si>
  <si>
    <t>D, G</t>
  </si>
  <si>
    <t>6, 8</t>
  </si>
  <si>
    <t>Fixed O&amp;M (M€ /1,000 t Bio Oil)</t>
  </si>
  <si>
    <t>F, G</t>
  </si>
  <si>
    <t>Variable O&amp;M (M€ /1,000 t Bio Oil)</t>
  </si>
  <si>
    <t>Start up  (M€ /1,000 t Bio Oil)</t>
  </si>
  <si>
    <t>Specific energy content (GJ/ton) bio-oil)</t>
  </si>
  <si>
    <r>
      <t>A.</t>
    </r>
    <r>
      <rPr>
        <sz val="7"/>
        <color rgb="FF000000"/>
        <rFont val="Times New Roman"/>
        <family val="1"/>
      </rPr>
      <t xml:space="preserve">     </t>
    </r>
    <r>
      <rPr>
        <sz val="8"/>
        <color rgb="FF000000"/>
        <rFont val="Arial"/>
        <family val="2"/>
      </rPr>
      <t>The plant size range is likely limited by the feedstock availability.</t>
    </r>
  </si>
  <si>
    <r>
      <t>B.</t>
    </r>
    <r>
      <rPr>
        <sz val="7"/>
        <color rgb="FF000000"/>
        <rFont val="Times New Roman"/>
        <family val="1"/>
      </rPr>
      <t xml:space="preserve">     </t>
    </r>
    <r>
      <rPr>
        <sz val="8"/>
        <color rgb="FF000000"/>
        <rFont val="Arial"/>
        <family val="2"/>
      </rPr>
      <t>The plant size range is typical of the range found in the literature. It is highly uncertain given that the commercial demonstration plants in operation are much smaller.</t>
    </r>
  </si>
  <si>
    <r>
      <t>C.</t>
    </r>
    <r>
      <rPr>
        <sz val="7"/>
        <color rgb="FF000000"/>
        <rFont val="Times New Roman"/>
        <family val="1"/>
      </rPr>
      <t xml:space="preserve">     </t>
    </r>
    <r>
      <rPr>
        <sz val="8"/>
        <color rgb="FF000000"/>
        <rFont val="Arial"/>
        <family val="2"/>
      </rPr>
      <t>This is twice the time normally found in process operations.</t>
    </r>
  </si>
  <si>
    <r>
      <t>D.</t>
    </r>
    <r>
      <rPr>
        <sz val="7"/>
        <color rgb="FF000000"/>
        <rFont val="Times New Roman"/>
        <family val="1"/>
      </rPr>
      <t xml:space="preserve">     </t>
    </r>
    <r>
      <rPr>
        <sz val="8"/>
        <color rgb="FF000000"/>
        <rFont val="Arial"/>
        <family val="2"/>
      </rPr>
      <t>Capital costs for n</t>
    </r>
    <r>
      <rPr>
        <vertAlign val="superscript"/>
        <sz val="8"/>
        <color rgb="FF000000"/>
        <rFont val="Arial"/>
        <family val="2"/>
      </rPr>
      <t>th</t>
    </r>
    <r>
      <rPr>
        <sz val="8"/>
        <color rgb="FF000000"/>
        <rFont val="Arial"/>
        <family val="2"/>
      </rPr>
      <t xml:space="preserve"> plant are used for 2050 and earlier costs are estimates.</t>
    </r>
  </si>
  <si>
    <r>
      <t>E.</t>
    </r>
    <r>
      <rPr>
        <sz val="7"/>
        <color rgb="FF000000"/>
        <rFont val="Times New Roman"/>
        <family val="1"/>
      </rPr>
      <t xml:space="preserve">     </t>
    </r>
    <r>
      <rPr>
        <sz val="8"/>
        <color rgb="FF000000"/>
        <rFont val="Arial"/>
        <family val="2"/>
      </rPr>
      <t>These are based on the commercial demonstration plant results.</t>
    </r>
  </si>
  <si>
    <r>
      <t>F.</t>
    </r>
    <r>
      <rPr>
        <sz val="7"/>
        <color rgb="FF000000"/>
        <rFont val="Times New Roman"/>
        <family val="1"/>
      </rPr>
      <t xml:space="preserve">     </t>
    </r>
    <r>
      <rPr>
        <sz val="8"/>
        <color rgb="FF000000"/>
        <rFont val="Arial"/>
        <family val="2"/>
      </rPr>
      <t>N</t>
    </r>
    <r>
      <rPr>
        <vertAlign val="superscript"/>
        <sz val="8"/>
        <color rgb="FF000000"/>
        <rFont val="Arial"/>
        <family val="2"/>
      </rPr>
      <t>th</t>
    </r>
    <r>
      <rPr>
        <sz val="8"/>
        <color rgb="FF000000"/>
        <rFont val="Arial"/>
        <family val="2"/>
      </rPr>
      <t xml:space="preserve"> plant estimates.</t>
    </r>
  </si>
  <si>
    <r>
      <t>G.</t>
    </r>
    <r>
      <rPr>
        <sz val="7"/>
        <color rgb="FF000000"/>
        <rFont val="Times New Roman"/>
        <family val="1"/>
      </rPr>
      <t xml:space="preserve">    </t>
    </r>
    <r>
      <rPr>
        <sz val="8"/>
        <color rgb="FF000000"/>
        <rFont val="Arial"/>
        <family val="2"/>
      </rPr>
      <t>M €/k tonne is million euro per 1,000 tonnes</t>
    </r>
  </si>
  <si>
    <t xml:space="preserve">[1]     Muggen, G. 2015. Looking back at the first half year of commercial scale pyrolysis oil production at Empyro. tcbiomass Chicago November 4th 2015. http://www.gastechnology.org/tcbiomass/tcb2015/Muggen_Gerhard-Presentation-tcbiomass2015.pdf </t>
  </si>
  <si>
    <t xml:space="preserve">[2]     BTG Bioliquids. Empyro project. https://www.btg-btl.com/en/company/projects/empyro </t>
  </si>
  <si>
    <t xml:space="preserve">[3]     Mahajan. M. 2018. Biomass-A Massive opportunity in disguise. https://ec.europa.eu/energy/sites/ener/files/documents/32_dharmesh_mahajan-honeywell.pdf </t>
  </si>
  <si>
    <t xml:space="preserve">[4]     Bridgwater, A., Meier, D. Radlein, D. 1999. An overview of fast pyrolysis of biomass. Organic Geochemistry, Volume 30, Issue 12, Pages 1479-1493, https://doi.org/10.1016/S0146-6380(99)00120-5. </t>
  </si>
  <si>
    <t xml:space="preserve">[5]     BTG. November 2017 Newsletter. https://www.btg-btl.com/nieuwsbrieven/2017/november/en  </t>
  </si>
  <si>
    <t xml:space="preserve">[6]     Mark M. Wright, Justinus A. Satrio, and Robert C. Brown 2010. Techno-Economic Analysis of Biomass Fast Pyrolysis to Transportation Fuels https://www.nrel.gov/docs/fy11osti/46586.pdf </t>
  </si>
  <si>
    <t xml:space="preserve">[7]     Hu, W., Dang, Q., Rover, M., Brown, R., Wright, M. 2015. Comparative techno-economic analysis of advanced biofuels, biochemicals, and hydrocarbon chemicals via the fast pyrolysis platform. Biofuels, 7:1, 57-67. http://dx.doi.org/10.1080/17597269.2015.1118780 </t>
  </si>
  <si>
    <t xml:space="preserve">[8]     Shemfe, M.,Sai Gu, S., Ranganathan, P. 2015. Techno-economic performance analysis of biofuel production and miniature electric power generation from biomass fast pyrolysis and bio-oil upgrading, Fuel, Volume 143, 2015, Pages 361-372, https://doi.org/10.1016/j.fuel.2014.11.078. </t>
  </si>
  <si>
    <t xml:space="preserve">[9]     BE-Sustainable. 2014. Empyro BV breaks ground of its biomass to liquid pyrolysis plant. http://www.besustainablemagazine.com/cms2/empyro-bv-breaks-ground-of-its-biomass-to-liquid-pyrolysis-plant/ </t>
  </si>
  <si>
    <t xml:space="preserve">[10] Ensyn. 2016. Scale-up &amp; Optimization BETO Workshop. https://www.energy.gov/sites/prod/files/2016/10/f33/Graham_0.pdf </t>
  </si>
  <si>
    <t xml:space="preserve">[11] BTG. Pyrolysis oil properties. https://www.btg-btl.com/en/applications/oilproperties </t>
  </si>
  <si>
    <t>[12] Environment Canada. 1999. Bunker C Fuel Oil. www.etc-cte.ec.gc.ca/databases/oilproperties/pdf/web_bunker_c_fuel_oil.pdf</t>
  </si>
  <si>
    <t>Cellulosic Ethanol</t>
  </si>
  <si>
    <t>Typical total plant size 1,000 tonnes/year</t>
  </si>
  <si>
    <t>Typical total plant size, MW</t>
  </si>
  <si>
    <t>Ethanol Output, MWh/MWh Total Input</t>
  </si>
  <si>
    <t>1, 10, 11</t>
  </si>
  <si>
    <r>
      <t>A.</t>
    </r>
    <r>
      <rPr>
        <sz val="7"/>
        <color rgb="FF000000"/>
        <rFont val="Times New Roman"/>
        <family val="1"/>
      </rPr>
      <t xml:space="preserve">     </t>
    </r>
    <r>
      <rPr>
        <sz val="8"/>
        <color rgb="FF000000"/>
        <rFont val="Arial"/>
        <family val="2"/>
      </rPr>
      <t>The plant size is assumed based on the plants sizes of existing ethanol plants.</t>
    </r>
  </si>
  <si>
    <r>
      <t>C.</t>
    </r>
    <r>
      <rPr>
        <sz val="7"/>
        <color rgb="FF000000"/>
        <rFont val="Times New Roman"/>
        <family val="1"/>
      </rPr>
      <t xml:space="preserve">     </t>
    </r>
    <r>
      <rPr>
        <sz val="8"/>
        <color rgb="FF000000"/>
        <rFont val="Arial"/>
        <family val="2"/>
      </rPr>
      <t>Not all process developers are attempting to maximize ethanol output; this can result in higher feedstock consumption but lower chemical use. Co-product production is higher if the ethanol yield is low.</t>
    </r>
  </si>
  <si>
    <r>
      <t>D.</t>
    </r>
    <r>
      <rPr>
        <sz val="7"/>
        <color rgb="FF000000"/>
        <rFont val="Times New Roman"/>
        <family val="1"/>
      </rPr>
      <t xml:space="preserve">     </t>
    </r>
    <r>
      <rPr>
        <sz val="8"/>
        <color rgb="FF000000"/>
        <rFont val="Arial"/>
        <family val="2"/>
      </rPr>
      <t>There is a wide range of reported capital costs for the existing plants and a wide range in the cost of future plants.</t>
    </r>
  </si>
  <si>
    <r>
      <t>E.</t>
    </r>
    <r>
      <rPr>
        <sz val="7"/>
        <color rgb="FF000000"/>
        <rFont val="Times New Roman"/>
        <family val="1"/>
      </rPr>
      <t xml:space="preserve">     </t>
    </r>
    <r>
      <rPr>
        <sz val="8"/>
        <color rgb="FF000000"/>
        <rFont val="Arial"/>
        <family val="2"/>
      </rPr>
      <t>Start-up costs are included in the operating costs.</t>
    </r>
  </si>
  <si>
    <r>
      <t>F.</t>
    </r>
    <r>
      <rPr>
        <sz val="7"/>
        <color rgb="FF000000"/>
        <rFont val="Times New Roman"/>
        <family val="1"/>
      </rPr>
      <t xml:space="preserve">     </t>
    </r>
    <r>
      <rPr>
        <sz val="8"/>
        <color rgb="FF000000"/>
        <rFont val="Arial"/>
        <family val="2"/>
      </rPr>
      <t>O&amp;M costs are based on the n</t>
    </r>
    <r>
      <rPr>
        <vertAlign val="superscript"/>
        <sz val="8"/>
        <color rgb="FF000000"/>
        <rFont val="Arial"/>
        <family val="2"/>
      </rPr>
      <t>th</t>
    </r>
    <r>
      <rPr>
        <sz val="8"/>
        <color rgb="FF000000"/>
        <rFont val="Arial"/>
        <family val="2"/>
      </rPr>
      <t xml:space="preserve"> plant. There are no public estimates for the costs from current plants. It has been estimated that they are twice the values for the nth plants. This may be optimistic unless the on line performance can be improved.</t>
    </r>
  </si>
  <si>
    <t xml:space="preserve">[1]     Tao, L., Schell, D., Davis, R., Tan, E., Elander, R. and Bratis, A. 2014. NREL 2012 Achievement of Ethanol Cost Targets: Biochemical Ethanol Fermentation via Dilute-Acid Pretreatment and Enzymatic Hydrolysis of Corn Stover. NREL/TP-5100-61563. https://www.nrel.gov/docs/fy14osti/61563.pdf </t>
  </si>
  <si>
    <t xml:space="preserve">[2]     Kacelle. 2014. Bringing cellulosic ethanol to industrial production at Kalundborg, Denmark. https://biorefiningalliance.com/wp-content/uploads/2014/12/KACELLE-PUBLISHABLE-SUMMARY-web.pdf </t>
  </si>
  <si>
    <t xml:space="preserve">[3]     POET-DSM achieves cellulosic biofuel breakthrough. Nov 2017. http://poetdsm.com/pr/poet-dsm-achieves-cellulosic-biofuel-breakthrough </t>
  </si>
  <si>
    <t>[4]     Thakrar, A. 2017. PROJECT LIBERTY: Lessons learned in commercializing cellulosic biofuels. Presented at 6TH International Conference on Lignocellulosic Ethanol. Brussels, Sept 2017. https://ec.europa.eu/energy/en/events/6th-international-conference-ethanol-lignocellulosics.</t>
  </si>
  <si>
    <t>[5]     Van der Meij, R. 2017. A venture capitalist’s view on investment in lingo-cellulosic ethanol. Presented at 6TH International Conference on Lignocellulosic Ethanol. Brussels, Sept 2017. https://ec.europa.eu/energy/en/events/6th-international-conference-ethanol-lignocellulosics.</t>
  </si>
  <si>
    <t xml:space="preserve">[6]     Merritt, M. 2017. Real Progress in Cellulosic Biofuel. Biofuels, Bioprod. Bioref., 11: 943-944. https://doi.org/10.1002/bbb.1837 </t>
  </si>
  <si>
    <t xml:space="preserve">[7]     Beta Renewables. Oct 2017. The Alessandria court admitted the Gruppo Mossi Ghisolfi companies to the “concordato preventivo”. http://www.betarenewables.com/en/media-relations/news-detail/32 </t>
  </si>
  <si>
    <t xml:space="preserve">[8]     DuPont to sell cellulosic ethanol plant in blow to biofuel. Nov 2017. https://www.reuters.com/article/us-dowdupont-ethanol/dupont-to-sell-cellulosic-ethanol-plant-in-blow-to-biofuel-idUSKBN1D22T5 </t>
  </si>
  <si>
    <t xml:space="preserve">[9]     Clariant. 2017. Clariant And Enviral Announce First License Agreement on Sunliquid® Cellulosic Ethanol Technology. https://www.clariant.com/en/Corporate/News/2017/09/Clariant-and-Enviral-announce-first-license-agreement-on-sunliquid-cellulosic-ethanol-technology </t>
  </si>
  <si>
    <t xml:space="preserve">[10] Clariant. 2017. Clariant to Build Flagship Sunliquid® Cellulosic Ethanol Plant in Romania. https://www.clariant.com/en/Corporate/News/2017/10/Clariant-to-build-flagship-sunliquid-cellulosic-ethanol-plant-in-Romania </t>
  </si>
  <si>
    <t xml:space="preserve">[11] IEA Bioenergy Task 39. Cellulosic Ethanol Plants. http://demoplants.bioenergy2020.eu/ </t>
  </si>
  <si>
    <t xml:space="preserve">[13] Lee R Lynd, Xiaoyu Liang, Mary J Biddy, Andrew Allee, Hao Cai, Thomas Foust, Michael E Himmel, Mark S Laser, Michael Wang, Charles E Wyman. 2017. Cellulosic ethanol: status and innovation, In Current Opinion in Biotechnology, Volume 45, 2017, Pages 202-211, ISSN 0958-1669, https://doi.org/10.1016/j.copbio.2017.03.008 </t>
  </si>
  <si>
    <t xml:space="preserve">[14] de Jong, S., Hoefnagels, R., Faaij, A., Slade, R., Mawhood, R. and Junginger, M. 2015. The feasibility of short-term production strategies for renewable jet fuels – a comprehensive techno-economic comparison. Biofuels, Bioprod. Bioref., 9: 778–800. https://www.doi.org/10.1002/bbb.1613   </t>
  </si>
  <si>
    <t xml:space="preserve">[15] Irena. 2016. Innovation Outlook. Advanced Liquid Biofuels. http://www.irena.org/DocumentDownloads/Publications/IRENA_Innovation_Outlook_Advanced_Liquid_Biofuels_2016.pdf </t>
  </si>
  <si>
    <t xml:space="preserve">[16] Sub Group on Advanced Biofuels. 2017. Cost of Biofuel. http://platformduurzamebiobrandstoffen.nl/wp-content/uploads/2017/07/2017_SGAB_Cost-of-Biofuels.pdf  </t>
  </si>
  <si>
    <t>[12] Brian Foody. 2016. Scaling Up Cellulosic Biofuels, Ideas &amp; Experience. Presented at Scaling Up, Ottawa, Ontario, Nov 15, 2016.</t>
  </si>
  <si>
    <t>Typical total plant size 1,000 t FT Liquids/year</t>
  </si>
  <si>
    <t>Specific investment (M€ /1,000 t FT Liquids/year)</t>
  </si>
  <si>
    <t>E, L</t>
  </si>
  <si>
    <t>1, 6, 7, 8, 9</t>
  </si>
  <si>
    <t>Fixed O&amp;M (M€ /1,000 t FT Liquids/year)</t>
  </si>
  <si>
    <t>Variable O&amp;M (M€ /1,000 t FT Liquids/year)</t>
  </si>
  <si>
    <t>Start up (M€ /1,000 t FT Liquids/year)</t>
  </si>
  <si>
    <t>Specific energy content (GJ/ton) FT Diesel)</t>
  </si>
  <si>
    <r>
      <t>A.</t>
    </r>
    <r>
      <rPr>
        <sz val="7"/>
        <color rgb="FF000000"/>
        <rFont val="Times New Roman"/>
        <family val="1"/>
      </rPr>
      <t xml:space="preserve">     </t>
    </r>
    <r>
      <rPr>
        <sz val="8"/>
        <color rgb="FF000000"/>
        <rFont val="Arial"/>
        <family val="2"/>
      </rPr>
      <t>The plant size is assumed based on the proposed Velocys plant and the NREL n</t>
    </r>
    <r>
      <rPr>
        <vertAlign val="superscript"/>
        <sz val="8"/>
        <color rgb="FF000000"/>
        <rFont val="Arial"/>
        <family val="2"/>
      </rPr>
      <t>th</t>
    </r>
    <r>
      <rPr>
        <sz val="8"/>
        <color rgb="FF000000"/>
        <rFont val="Arial"/>
        <family val="2"/>
      </rPr>
      <t xml:space="preserve"> plant. </t>
    </r>
  </si>
  <si>
    <t>A1. This value is the hourly rating and has been calculated as if the unit produces at capacity and was in operations 8,000 h/year</t>
  </si>
  <si>
    <r>
      <t>B.</t>
    </r>
    <r>
      <rPr>
        <sz val="7"/>
        <color rgb="FF000000"/>
        <rFont val="Times New Roman"/>
        <family val="1"/>
      </rPr>
      <t xml:space="preserve">     </t>
    </r>
    <r>
      <rPr>
        <sz val="8"/>
        <color rgb="FF000000"/>
        <rFont val="Arial"/>
        <family val="2"/>
      </rPr>
      <t>Feedstock availability is likely to determine the maximum plant size.</t>
    </r>
  </si>
  <si>
    <r>
      <t>C.</t>
    </r>
    <r>
      <rPr>
        <sz val="7"/>
        <color rgb="FF000000"/>
        <rFont val="Times New Roman"/>
        <family val="1"/>
      </rPr>
      <t xml:space="preserve">     </t>
    </r>
    <r>
      <rPr>
        <sz val="8"/>
        <color rgb="FF000000"/>
        <rFont val="Arial"/>
        <family val="2"/>
      </rPr>
      <t>The feedstock requirements could vary with efforts to improve the desired product selectivity.</t>
    </r>
  </si>
  <si>
    <r>
      <t>D.</t>
    </r>
    <r>
      <rPr>
        <sz val="7"/>
        <color rgb="FF000000"/>
        <rFont val="Times New Roman"/>
        <family val="1"/>
      </rPr>
      <t xml:space="preserve">     </t>
    </r>
    <r>
      <rPr>
        <sz val="8"/>
        <color rgb="FF000000"/>
        <rFont val="Arial"/>
        <family val="2"/>
      </rPr>
      <t>Over time the power available for export may increase due to improve thermal management in the plant.</t>
    </r>
  </si>
  <si>
    <r>
      <t>E.</t>
    </r>
    <r>
      <rPr>
        <sz val="7"/>
        <color theme="1"/>
        <rFont val="Times New Roman"/>
        <family val="1"/>
      </rPr>
      <t xml:space="preserve">     </t>
    </r>
    <r>
      <rPr>
        <sz val="8"/>
        <color theme="1"/>
        <rFont val="Arial"/>
        <family val="2"/>
      </rPr>
      <t>There is a wide range of reported capital costs for the existing plants and a wide range in the cost of future plants.</t>
    </r>
  </si>
  <si>
    <r>
      <t>F.</t>
    </r>
    <r>
      <rPr>
        <sz val="7"/>
        <color theme="1"/>
        <rFont val="Times New Roman"/>
        <family val="1"/>
      </rPr>
      <t xml:space="preserve">     </t>
    </r>
    <r>
      <rPr>
        <sz val="8"/>
        <color theme="1"/>
        <rFont val="Arial"/>
        <family val="2"/>
      </rPr>
      <t>Start-up costs are included in the operating costs.</t>
    </r>
  </si>
  <si>
    <t>M €/k tonne is million euro per 1,000 tonnes</t>
  </si>
  <si>
    <t xml:space="preserve">[1]     Tan, E. C. D., Snowden-Swan, L. J., Talmadge, M., Dutta, A., Jones, S., Ramasamy, K. K., Gray, M., Dagle, R., Padmaperuma, A., Gerber, M., Sahir, A. H., Tao, L. and Zhang, Y. 2017. Comparative techno-economic analysis and process design for indirect liquefaction pathways to distillate-range fuels via biomass-derived oxygenated intermediates upgrading. Biofuels, Bioprod. Bioref., 11: 41–66. https://www.doi.org/10.1002/bbb.1710 </t>
  </si>
  <si>
    <t xml:space="preserve">[2]     Kreutz, T., Larson, E., Liu, G., Williams, R. 2008. Fischer-Tropsch Fuels from Coal and Biomass. 25th Annual International Pittsburgh Coal Conference. http://acee.princeton.edu/wp-content/uploads/2016/10/Kreutz-et-al-PCC-2008-10-7-08.pdf </t>
  </si>
  <si>
    <t xml:space="preserve">[3]     Baliban, R., Elia, J., Floudas, C., Gurau, B., Weingarten, M., and Klotz, S. 2013. Hardwood Biomass to Gasoline, Diesel, and Jet Fuel: 1. Process Synthesis and Global Optimization of a Thermochemical Refinery. Energy &amp; Fuels 2013 27 (8), 4302-4324. https://www.doi.org/10.1021/ef302003f    </t>
  </si>
  <si>
    <t xml:space="preserve">[4]     Sikarwar, V., Zhao, M., Clough, P., Yao, J., Zhong, X., Memon, Shah, M., Anthony, E., and Fennell, P. 2016. An overview of advances in biomass gasification. Energy Environ. Sci. 2016, 9, 2939. https://doi.org/10.1039/C6EE00935B </t>
  </si>
  <si>
    <t xml:space="preserve">[5]     Molino, A., Chianese, S., Musmarra, D. 2016. Biomass gasification technology: The state of the art overview, In Journal of Energy Chemistry, Volume 25, Issue 1, 2016, Pages 10-25, ISSN 2095-4956, https://doi.org/10.1016/j.jechem.2015.11.005 </t>
  </si>
  <si>
    <t xml:space="preserve">[6]     Velocys. 2017. The biomass-to-liquids process. http://www.velocys.com/our-biorefineries/ </t>
  </si>
  <si>
    <t xml:space="preserve">[7]     Chandra, P.K. &amp; Payne, Fred. 1986. Turndown Ratio of a Gasifier-Combustor Predicted by a Simulation Model. Transactions of the ASAE. 29. 1748-1753. https://doi.org/10.13031/2013.30383. </t>
  </si>
  <si>
    <t>[8]     Danish Energy Agency. 2017. Energy Statistics 2015. https://ens.dk/sites/ens.dk/files/Statistik/energy_statistics_2015.pdf</t>
  </si>
  <si>
    <t xml:space="preserve">[9]     Li X, Rubæk GH, Müller-Stöver DS, Thomsen TP, Ahrenfeldt J and Sørensen P. 2017. Plant Availability of Phosphorus in Five Gasification Biochars. Front. Sustain. Food Syst. 1:2. https://www.doi.org/10.3389/fsufs.2017.00002   </t>
  </si>
  <si>
    <t xml:space="preserve">[10] Velocys. 2017. Establishment of a strategic alliance with TRI. http://www.velocys.com/establishment-of-a-strategic-alliance-with-tri/ </t>
  </si>
  <si>
    <t xml:space="preserve">[11] Velocys. 2017. Velocys plans for the construction of a commercial BTL plant move forward. https://biorrefineria.blogspot.ca/2017/06/velocys-plans-for-construction-of-commercial-BTL-plant-move-forward.html </t>
  </si>
  <si>
    <t xml:space="preserve">[12] Tijm, P. 1994. Shell Middle Distillate Synthesis: The Process, The Plant, The Products. http://web.anl.gov/PCS/acsfuel/preprint%20archive/Files/39_4_WASHINGTON%20DC_08-94_1146.pdf </t>
  </si>
  <si>
    <t>[13] van der Laan, P. 1999. Kinetics, Selectivity and Scale Up of the Fischer-Tropsch Synthesis. http://www.adktroutguide.com/files/1999_Phd_Thesis_-_Kinetics_Selectivity_and_Scaleup_of_FT_Synthesis.pdf</t>
  </si>
  <si>
    <t xml:space="preserve">[14] Industrial Equipment News. 2017. Mississippi Lands Biofuel Refinery. https://www.ien.com/operations/news/20980331/mississippi-lands-biofuel-refinery </t>
  </si>
  <si>
    <t xml:space="preserve">[17] de Jong, S., Hoefnagels, R., Faaij, A., Slade, R., Mawhood, R. and Junginger, M. 2015. The feasibility of short-term production strategies for renewable jet fuels – a comprehensive techno-economic comparison. Biofuels, Bioprod. Bioref., 9: 778–800. https://www.doi.org/10.1002/bbb.1613   </t>
  </si>
  <si>
    <t>Bio Methanol</t>
  </si>
  <si>
    <t>Typical total plant size 1,000 t Methanol/year</t>
  </si>
  <si>
    <t>3, 5, 6</t>
  </si>
  <si>
    <t>Methanol Output, MWh/MWh Input</t>
  </si>
  <si>
    <t>Specific investment (M€ /1,000 t Methanol)</t>
  </si>
  <si>
    <t>1, 3, 5, 6</t>
  </si>
  <si>
    <t>Fixed O&amp;M (M€ /1,000 t Methanol)</t>
  </si>
  <si>
    <t>Variable O&amp;M (M€ /1,000 t Methanol)</t>
  </si>
  <si>
    <t>E,,F</t>
  </si>
  <si>
    <t>Start up (M€ /1,000 t Methanoll)</t>
  </si>
  <si>
    <t>Specific energy content (GJ/ton) methanol)</t>
  </si>
  <si>
    <r>
      <t>A.</t>
    </r>
    <r>
      <rPr>
        <sz val="7"/>
        <color rgb="FF000000"/>
        <rFont val="Times New Roman"/>
        <family val="1"/>
      </rPr>
      <t xml:space="preserve">     </t>
    </r>
    <r>
      <rPr>
        <sz val="8"/>
        <color rgb="FF000000"/>
        <rFont val="Arial"/>
        <family val="2"/>
      </rPr>
      <t>The plant size range is assumed based on the proposed Värmlands plant and the NREL n</t>
    </r>
    <r>
      <rPr>
        <vertAlign val="superscript"/>
        <sz val="8"/>
        <color rgb="FF000000"/>
        <rFont val="Arial"/>
        <family val="2"/>
      </rPr>
      <t>th</t>
    </r>
    <r>
      <rPr>
        <sz val="8"/>
        <color rgb="FF000000"/>
        <rFont val="Arial"/>
        <family val="2"/>
      </rPr>
      <t xml:space="preserve"> plant.</t>
    </r>
  </si>
  <si>
    <t xml:space="preserve">A1. This value is the hourly rating and has been calculated as if the unit produces at capacity and was in operations 8,000 h/year. </t>
  </si>
  <si>
    <r>
      <t>C.</t>
    </r>
    <r>
      <rPr>
        <sz val="7"/>
        <color rgb="FF000000"/>
        <rFont val="Times New Roman"/>
        <family val="1"/>
      </rPr>
      <t xml:space="preserve">     </t>
    </r>
    <r>
      <rPr>
        <sz val="8"/>
        <color rgb="FF000000"/>
        <rFont val="Arial"/>
        <family val="2"/>
      </rPr>
      <t>Some plants may produce their own power and have no power imports.</t>
    </r>
  </si>
  <si>
    <r>
      <t>D.</t>
    </r>
    <r>
      <rPr>
        <sz val="7"/>
        <color rgb="FF000000"/>
        <rFont val="Times New Roman"/>
        <family val="1"/>
      </rPr>
      <t xml:space="preserve">     </t>
    </r>
    <r>
      <rPr>
        <sz val="8"/>
        <color rgb="FF000000"/>
        <rFont val="Arial"/>
        <family val="2"/>
      </rPr>
      <t>Plants that produce their own power will have much lower heat available to district heat.</t>
    </r>
  </si>
  <si>
    <r>
      <t>E.</t>
    </r>
    <r>
      <rPr>
        <sz val="7"/>
        <color rgb="FF000000"/>
        <rFont val="Times New Roman"/>
        <family val="1"/>
      </rPr>
      <t xml:space="preserve">     </t>
    </r>
    <r>
      <rPr>
        <sz val="8"/>
        <color rgb="FF000000"/>
        <rFont val="Arial"/>
        <family val="2"/>
      </rPr>
      <t>Assumed a 25/75 split on fixed to variable operating costs.</t>
    </r>
  </si>
  <si>
    <r>
      <t>F.</t>
    </r>
    <r>
      <rPr>
        <sz val="7"/>
        <color rgb="FF000000"/>
        <rFont val="Times New Roman"/>
        <family val="1"/>
      </rPr>
      <t xml:space="preserve">     </t>
    </r>
    <r>
      <rPr>
        <sz val="8"/>
        <color rgb="FF000000"/>
        <rFont val="Arial"/>
        <family val="2"/>
      </rPr>
      <t>M €/k tonne is million euro per 1,000 tonnes</t>
    </r>
  </si>
  <si>
    <t>[1]     Andersson, J.,Lundgren, J., and Marklund, M. 2014. Methanol production via pressurized entrained flow biomass gasification – Techno-economic comparison of integrated vs. stand-alone production, In Biomass and Bioenergy, Volume 64, 2014, Pages 256-268, ISSN 0961-9534, https://doi.org/10.1016/j.biombioe.2014.03.063</t>
  </si>
  <si>
    <t>[2]     Danish Technology Institute. 2011. GreenSynFuels. EUDP project journal number: 64010-0011. http://serenergy.com/wp-content/uploads/2015/11/GreenSynFuels_report_final.pdf</t>
  </si>
  <si>
    <t>[3]     Clausen, L. 2014. Integrated torrefaction vs. external torrefaction – A thermodynamic analysis for the case of a thermochemical biorefinery. Energy, Volume 77, Pages 597-607. https://doi.org/10.1016/j.energy.2014.09.042.</t>
  </si>
  <si>
    <t>[4]     IEA Bioenergy Task 39. 2016. IEA-Bioenergy-Task-39-Newsletter-Issue-42-April-2016. http://task39.sites.olt.ubc.ca/files/2012/01/IEA-Bioenergy-Task-39-Newsletter-Issue-42-April-2016.pdf</t>
  </si>
  <si>
    <t>[5]     Värmlands Metanol AB. http://www.varmlandsmetanol.se/Om%20Projektet.htm</t>
  </si>
  <si>
    <t>[6]     Värmlands Metanol AB. 2016. Metanol från skog - ett miljövänligt drivmedel. http://www.varmlandsmetanol.se/dokument/Folder%20VM%20sept%202016.pdf</t>
  </si>
  <si>
    <t>[7]     NREL. 2011. Technoeconomic comparison of biofuels: ethanol, methanol, and gasoline from gasification of woody residues. https://www.nrel.gov/docs/fy12osti/52636.pdf</t>
  </si>
  <si>
    <t>[8]     Sub Group on Advanced Biofuels. 2017. Cost of Biofuel. http://platformduurzamebiobrandstoffen.nl/wp-content/uploads/2017/07/2017_SGAB_Cost-of-Biofuels.pdf</t>
  </si>
  <si>
    <t>4, 5, 11</t>
  </si>
  <si>
    <t>4, 5</t>
  </si>
  <si>
    <t>Hydrogen Consumption, t/t Methanol</t>
  </si>
  <si>
    <t>Methanol Output, MWh/MWh Total Input</t>
  </si>
  <si>
    <t>Start up (M€ /1,000 t Methanol)</t>
  </si>
  <si>
    <r>
      <t>A.</t>
    </r>
    <r>
      <rPr>
        <sz val="7"/>
        <color rgb="FF000000"/>
        <rFont val="Times New Roman"/>
        <family val="1"/>
      </rPr>
      <t xml:space="preserve">     </t>
    </r>
    <r>
      <rPr>
        <sz val="8"/>
        <color rgb="FF000000"/>
        <rFont val="Arial"/>
        <family val="2"/>
      </rPr>
      <t xml:space="preserve">The plant size range is based on the CRI plants and other analysis in the literature. </t>
    </r>
  </si>
  <si>
    <r>
      <t>B.</t>
    </r>
    <r>
      <rPr>
        <sz val="7"/>
        <color rgb="FF000000"/>
        <rFont val="Times New Roman"/>
        <family val="1"/>
      </rPr>
      <t xml:space="preserve">     </t>
    </r>
    <r>
      <rPr>
        <sz val="8"/>
        <color rgb="FF000000"/>
        <rFont val="Arial"/>
        <family val="2"/>
      </rPr>
      <t>CO</t>
    </r>
    <r>
      <rPr>
        <vertAlign val="subscript"/>
        <sz val="8"/>
        <color rgb="FF000000"/>
        <rFont val="Arial"/>
        <family val="2"/>
      </rPr>
      <t>2</t>
    </r>
    <r>
      <rPr>
        <sz val="8"/>
        <color rgb="FF000000"/>
        <rFont val="Arial"/>
        <family val="2"/>
      </rPr>
      <t xml:space="preserve"> availability is likely to determine the maximum plant size.</t>
    </r>
  </si>
  <si>
    <r>
      <t>C.</t>
    </r>
    <r>
      <rPr>
        <sz val="7"/>
        <color rgb="FF000000"/>
        <rFont val="Times New Roman"/>
        <family val="1"/>
      </rPr>
      <t xml:space="preserve">     </t>
    </r>
    <r>
      <rPr>
        <sz val="8"/>
        <color rgb="FF000000"/>
        <rFont val="Arial"/>
        <family val="2"/>
      </rPr>
      <t xml:space="preserve">Power use improvement depends on improved efficiency for electrolyzers. </t>
    </r>
  </si>
  <si>
    <r>
      <t>D.</t>
    </r>
    <r>
      <rPr>
        <sz val="7"/>
        <color rgb="FF000000"/>
        <rFont val="Times New Roman"/>
        <family val="1"/>
      </rPr>
      <t xml:space="preserve">     </t>
    </r>
    <r>
      <rPr>
        <sz val="8"/>
        <color rgb="FF000000"/>
        <rFont val="Arial"/>
        <family val="2"/>
      </rPr>
      <t>Methanol is the only output.</t>
    </r>
  </si>
  <si>
    <r>
      <t>E.</t>
    </r>
    <r>
      <rPr>
        <sz val="7"/>
        <color rgb="FF000000"/>
        <rFont val="Times New Roman"/>
        <family val="1"/>
      </rPr>
      <t xml:space="preserve">     </t>
    </r>
    <r>
      <rPr>
        <sz val="8"/>
        <color rgb="FF000000"/>
        <rFont val="Arial"/>
        <family val="2"/>
      </rPr>
      <t>Waste heat is of low quality.</t>
    </r>
  </si>
  <si>
    <r>
      <t>F.</t>
    </r>
    <r>
      <rPr>
        <sz val="7"/>
        <color rgb="FF000000"/>
        <rFont val="Times New Roman"/>
        <family val="1"/>
      </rPr>
      <t xml:space="preserve">     </t>
    </r>
    <r>
      <rPr>
        <sz val="8"/>
        <color rgb="FF000000"/>
        <rFont val="Arial"/>
        <family val="2"/>
      </rPr>
      <t>The methanol synthesis step does not lend itself to intermittent operation. The concept of intermittent power to methanol is not practical without intermediate storage for hydrogen that would allow the methanol plant to operate continuously. This would have a significant capital cost impact.</t>
    </r>
  </si>
  <si>
    <r>
      <t>G.</t>
    </r>
    <r>
      <rPr>
        <sz val="7"/>
        <color rgb="FF000000"/>
        <rFont val="Times New Roman"/>
        <family val="1"/>
      </rPr>
      <t xml:space="preserve">    </t>
    </r>
    <r>
      <rPr>
        <sz val="8"/>
        <color rgb="FF000000"/>
        <rFont val="Arial"/>
        <family val="2"/>
      </rPr>
      <t>There is a wide range of capital costs in the literature.</t>
    </r>
  </si>
  <si>
    <r>
      <t>H.</t>
    </r>
    <r>
      <rPr>
        <sz val="7"/>
        <color rgb="FF000000"/>
        <rFont val="Times New Roman"/>
        <family val="1"/>
      </rPr>
      <t xml:space="preserve">     </t>
    </r>
    <r>
      <rPr>
        <sz val="8"/>
        <color rgb="FF000000"/>
        <rFont val="Arial"/>
        <family val="2"/>
      </rPr>
      <t>M €/k tonne is million euro per 1,000 tonnes</t>
    </r>
  </si>
  <si>
    <t>[1]     Next generation of methanol fuel cell vehicles sees the light of day. 2017. http://serenergy.com/next-generation-of-methanol-fuel-cell-vehicles-sees-the-light-of-day/</t>
  </si>
  <si>
    <t>[2]     Stefansson, B. 2015. Power and CO2 emissions to methanol. https://eu-ems.com/event_images/presentations/Benedikt%20Stefansson%20presentation.pdf</t>
  </si>
  <si>
    <t>[3]     Stefansson, B. 2017. CO2 to Renewable Methanol: experiences and perspectives for the steel industry. https://www.co2-cato.org/cato-download/4123/20170512_143353_20-11.00-Stefansson-public.pdf</t>
  </si>
  <si>
    <t xml:space="preserve">[4]     MefCO2 Project Brochure. 2017. http://www.mefco2.eu/pdf/MefCO2_Brochure_00.pdf </t>
  </si>
  <si>
    <t xml:space="preserve">[5]     Atsonios K, et al., Investigation of technical and economic aspects for methanol production through CO2 hydrogenation, International Journal of Hydrogen Energy (2016), http://dx.doi.org/10.1016/j.ijhydene.2015.12.074 </t>
  </si>
  <si>
    <t xml:space="preserve">[6]     Methanol Institute. http://www.methanol.org/the-methanol-industry/ </t>
  </si>
  <si>
    <t xml:space="preserve">[7]     Hovsapian, R. 2017. Role of Electrolyzers in Grid Services. US DOE. https://energy.gov/sites/prod/files/2017/06/f34/fcto_may_2017_h2_scale_wkshp_hovsapian.pdf </t>
  </si>
  <si>
    <t xml:space="preserve">[8]     Manuel Götz, Jonathan Lefebvre, Friedemann Mörs, Amy McDaniel Koch, Frank Graf, Siegfried Bajohr, Rainer Reimert, Thomas Kolb, Renewable Power-to-Gas: A technological and economic review, In Renewable Energy, Volume 85, 2016, Pages 1371-1390, ISSN 0960-1481, https://doi.org/10.1016/j.renene.2015.07.066 </t>
  </si>
  <si>
    <t>[9]     Danish Technology Institute. 2011. GreenSynFuels. EUDP project journal number: 64010-0011. http://serenergy.com/wp-content/uploads/2015/11/GreenSynFuels_report_final.pdf</t>
  </si>
  <si>
    <t>[10] Haldor Topsøe. 2017. Gasoline synthesis (TIGAS). https://www.topsoe.com/processes/gasoline-synthesis/gasoline-synthesis-tigas</t>
  </si>
  <si>
    <t>[11] M. Pérez-Fortes and E. Tzimas; Techno-economic and environmental evaluation of carbon dioxide utilisation for fuel production. Synthesis of methanol and formic acid; EUR 27629 EN; https://dx.doi.org/10.2790/981669</t>
  </si>
  <si>
    <t>[12] enea Consulting. 2016. The Potential of Power to Gas. Technology review and economic potential assessment. http://www.enea-consulting.com/wp-content/uploads/2016/01/ENEA-Consulting-The-potential-of-power-to-gas.pdf</t>
  </si>
  <si>
    <t xml:space="preserve">[13] CRI. 2017. Commercial Scale Plants. http://carbonrecycling.is/comercial-scale/ </t>
  </si>
  <si>
    <t>SNG from Biogas</t>
  </si>
  <si>
    <t>Typical total plant size 1,000 GJ SNG/year</t>
  </si>
  <si>
    <t>1, 7</t>
  </si>
  <si>
    <t>Biogas Consumption, MWh/MWh Total Input</t>
  </si>
  <si>
    <t>C, I</t>
  </si>
  <si>
    <t>Hydrogen Consumption, MWh/MWh Total Input</t>
  </si>
  <si>
    <t>SNG Output, MWh/MWh Total Input</t>
  </si>
  <si>
    <t>Fixed O&amp;M (€ /GJ SNG)</t>
  </si>
  <si>
    <t>Variable O&amp;M (€ /GJ SNG)</t>
  </si>
  <si>
    <t>Start up (€ /GJ SNG)</t>
  </si>
  <si>
    <t>Specific energy content (GJ/ton) SNG)</t>
  </si>
  <si>
    <r>
      <t>A.</t>
    </r>
    <r>
      <rPr>
        <sz val="7"/>
        <color rgb="FF000000"/>
        <rFont val="Times New Roman"/>
        <family val="1"/>
      </rPr>
      <t xml:space="preserve">     </t>
    </r>
    <r>
      <rPr>
        <sz val="8"/>
        <color rgb="FF000000"/>
        <rFont val="Arial"/>
        <family val="2"/>
      </rPr>
      <t>The plant size range is likely limited by the biogas availability.</t>
    </r>
  </si>
  <si>
    <r>
      <t>B.</t>
    </r>
    <r>
      <rPr>
        <sz val="7"/>
        <color rgb="FF000000"/>
        <rFont val="Times New Roman"/>
        <family val="1"/>
      </rPr>
      <t xml:space="preserve">     </t>
    </r>
    <r>
      <rPr>
        <sz val="8"/>
        <color rgb="FF000000"/>
        <rFont val="Arial"/>
        <family val="2"/>
      </rPr>
      <t xml:space="preserve">A1. This value is the hourly rating and has been calculated as if the unit produces at capacity and was in operations 8,000 h/year. </t>
    </r>
  </si>
  <si>
    <r>
      <t>C.</t>
    </r>
    <r>
      <rPr>
        <sz val="7"/>
        <color rgb="FF000000"/>
        <rFont val="Times New Roman"/>
        <family val="1"/>
      </rPr>
      <t xml:space="preserve">     </t>
    </r>
    <r>
      <rPr>
        <sz val="8"/>
        <color rgb="FF000000"/>
        <rFont val="Arial"/>
        <family val="2"/>
      </rPr>
      <t>Plant size progression is based on moving from small biogas system to large systems as the technology is proven.</t>
    </r>
  </si>
  <si>
    <r>
      <t>D.</t>
    </r>
    <r>
      <rPr>
        <sz val="7"/>
        <color rgb="FF000000"/>
        <rFont val="Times New Roman"/>
        <family val="1"/>
      </rPr>
      <t xml:space="preserve">     </t>
    </r>
    <r>
      <rPr>
        <sz val="8"/>
        <color rgb="FF000000"/>
        <rFont val="Arial"/>
        <family val="2"/>
      </rPr>
      <t>There are variations in the process that will have some impact on the overall efficiency. It is not yet clear what might become the industry standard.</t>
    </r>
  </si>
  <si>
    <r>
      <t>E.</t>
    </r>
    <r>
      <rPr>
        <sz val="7"/>
        <color rgb="FF000000"/>
        <rFont val="Times New Roman"/>
        <family val="1"/>
      </rPr>
      <t xml:space="preserve">     </t>
    </r>
    <r>
      <rPr>
        <sz val="8"/>
        <color rgb="FF000000"/>
        <rFont val="Arial"/>
        <family val="2"/>
      </rPr>
      <t>This is the power for the system excluding the electrolyzer.</t>
    </r>
  </si>
  <si>
    <r>
      <t>F.</t>
    </r>
    <r>
      <rPr>
        <sz val="7"/>
        <color rgb="FF000000"/>
        <rFont val="Times New Roman"/>
        <family val="1"/>
      </rPr>
      <t xml:space="preserve">     </t>
    </r>
    <r>
      <rPr>
        <sz val="8"/>
        <color rgb="FF000000"/>
        <rFont val="Arial"/>
        <family val="2"/>
      </rPr>
      <t>The methanation step does not lend itself to intermittent operation. The concept of intermittent power to SNG is not practical without intermediate storage for hydrogen that would allow the methanation plant to operate continuously. This would have a significant capital cost impact.</t>
    </r>
  </si>
  <si>
    <r>
      <t>G.</t>
    </r>
    <r>
      <rPr>
        <sz val="7"/>
        <color rgb="FF000000"/>
        <rFont val="Times New Roman"/>
        <family val="1"/>
      </rPr>
      <t xml:space="preserve">    </t>
    </r>
    <r>
      <rPr>
        <sz val="8"/>
        <color rgb="FF000000"/>
        <rFont val="Arial"/>
        <family val="2"/>
      </rPr>
      <t>Some recoverable waste heat is available from the process.</t>
    </r>
  </si>
  <si>
    <r>
      <t>H.</t>
    </r>
    <r>
      <rPr>
        <sz val="7"/>
        <color rgb="FF000000"/>
        <rFont val="Times New Roman"/>
        <family val="1"/>
      </rPr>
      <t xml:space="preserve">     </t>
    </r>
    <r>
      <rPr>
        <sz val="8"/>
        <color rgb="FF000000"/>
        <rFont val="Arial"/>
        <family val="2"/>
      </rPr>
      <t>There is a significant range in the capital cost estimates.</t>
    </r>
  </si>
  <si>
    <r>
      <t>I.</t>
    </r>
    <r>
      <rPr>
        <sz val="7"/>
        <color rgb="FF000000"/>
        <rFont val="Times New Roman"/>
        <family val="1"/>
      </rPr>
      <t xml:space="preserve">      </t>
    </r>
    <r>
      <rPr>
        <sz val="8"/>
        <color rgb="FF000000"/>
        <rFont val="Arial"/>
        <family val="2"/>
      </rPr>
      <t>Assumes that the biogas is 65% methane.</t>
    </r>
  </si>
  <si>
    <t xml:space="preserve">[1]     Manuel Götz, Jonathan Lefebvre, Friedemann Mörs, Amy McDaniel Koch, Frank Graf, Siegfried Bajohr, Rainer Reimert, Thomas Kolb, Renewable Power-to-Gas: A technological and economic review, In Renewable Energy, Volume 85, 2016, Pages 1371-1390, ISSN 0960-1481, https://doi.org/10.1016/j.renene.2015.07.066 </t>
  </si>
  <si>
    <t xml:space="preserve">[2]     Swiss Federal Office of Energy SFOE. 2017. Direct Methanation of Biogas. https://www.aramis.admin.ch/Default.aspx?DocumentID=45656&amp;Load=true </t>
  </si>
  <si>
    <t xml:space="preserve">[3]     gwf gas + energy. 2014. Das e-gas-Projekt am Biogasanlagen-standort in Werlte. https://www.di-verlag.de/media/content/gwf-GE/gwf_Gas_5_14/gwf-GE_05_2014_FB_Kurt.pdf?xaf26a=7841c984ef837209544e </t>
  </si>
  <si>
    <t xml:space="preserve">[4]     Rauch, R., Hrbek, J. and Hofbauer, H. 2014. Biomass gasification for synthesis gas production and applications of the syngas. WIREs Energy Environ, 3: 343–362. https://doi.org/10.1002/wene.97  </t>
  </si>
  <si>
    <t xml:space="preserve">[5]     Combination of Power-to-Gas with Biogas Plant. Vienna University of Technology. https://www.tuwien.ac.at/fileadmin/t/tuwien/fotos/pa/download/2015/HM2015/Flyer_Power_to_Bio--Gas_EN.pdf </t>
  </si>
  <si>
    <t xml:space="preserve">[6]     Hitachi Zosen Corporation and Hitachi Zosen Inova to Build First Joint Power-To-Gas Plant. Dec 2017. http://www.hz-inova.com/cms/en/home?p=6276 </t>
  </si>
  <si>
    <t>Bio Oil</t>
  </si>
  <si>
    <t>Co-products  Output MWh/MWh Total Input</t>
  </si>
  <si>
    <t>Specific investment (M€ /l1000 t Bio Oil)</t>
  </si>
  <si>
    <t>Start up (€ /l Bio Oil)</t>
  </si>
  <si>
    <t>Specific energy content (GJ/ton) HTL)</t>
  </si>
  <si>
    <r>
      <t>B.</t>
    </r>
    <r>
      <rPr>
        <sz val="7"/>
        <color rgb="FF000000"/>
        <rFont val="Times New Roman"/>
        <family val="1"/>
      </rPr>
      <t xml:space="preserve">     </t>
    </r>
    <r>
      <rPr>
        <sz val="8"/>
        <color rgb="FF000000"/>
        <rFont val="Arial"/>
        <family val="2"/>
      </rPr>
      <t>The plant size range is typical of the range found in the literature. It is highly uncertain given that there is no commercial demonstration plant in operation yet.</t>
    </r>
  </si>
  <si>
    <r>
      <t>E.</t>
    </r>
    <r>
      <rPr>
        <sz val="7"/>
        <color rgb="FF000000"/>
        <rFont val="Times New Roman"/>
        <family val="1"/>
      </rPr>
      <t xml:space="preserve">     </t>
    </r>
    <r>
      <rPr>
        <sz val="8"/>
        <color rgb="FF000000"/>
        <rFont val="Arial"/>
        <family val="2"/>
      </rPr>
      <t>These are based on extrapolated pilot plant results.</t>
    </r>
  </si>
  <si>
    <r>
      <t>F.</t>
    </r>
    <r>
      <rPr>
        <sz val="7"/>
        <color rgb="FF000000"/>
        <rFont val="Times New Roman"/>
        <family val="1"/>
      </rPr>
      <t xml:space="preserve">     </t>
    </r>
    <r>
      <rPr>
        <sz val="8"/>
        <color rgb="FF000000"/>
        <rFont val="Arial"/>
        <family val="2"/>
      </rPr>
      <t>N</t>
    </r>
    <r>
      <rPr>
        <vertAlign val="superscript"/>
        <sz val="8"/>
        <color rgb="FF000000"/>
        <rFont val="Arial"/>
        <family val="2"/>
      </rPr>
      <t>th</t>
    </r>
    <r>
      <rPr>
        <sz val="8"/>
        <color rgb="FF000000"/>
        <rFont val="Arial"/>
        <family val="2"/>
      </rPr>
      <t xml:space="preserve"> plant estimates</t>
    </r>
  </si>
  <si>
    <t xml:space="preserve">[1]     Steeper Energy Announces Eur 50.6 M (Dkk 377 M) Advanced Biofuel Project With Norwegian-Swedish Joint Venture Silva Green Fuel In Licensing Deal. 2017. http://steeperenergy.com/2017/12/15/steeper-energy-announces-eur-50-6-m-dkk-377-m-advanced-biofuel-project-with-norwegian-swedish-joint-venture-silva-green-fuel-in-licensing-deal/ </t>
  </si>
  <si>
    <t xml:space="preserve">[2]     Jensen, C.U., Rodriguez Guerrero, J.K., Karatzos, S. et al. 2017. Fundamentals of Hydrofaction™: Renewable crude oil from woody biomass. Biomass Conv. Bioref. (2017) 7: 495. https://doi.org/10.1007/s13399-017-0248-8 </t>
  </si>
  <si>
    <t xml:space="preserve">[3]     Environment Canada. 1999. Bunker C Fuel Oil. www.etc-cte.ec.gc.ca/databases/oilproperties/pdf/web_bunker_c_fuel_oil.pdf </t>
  </si>
  <si>
    <t xml:space="preserve">[4]     Fracking Biomass. Biofuels Digest. Feb 2, 2017. http://www.biofuelsdigest.com/bdigest/2017/02/02/fracking-biomass-steeper-energy-and-the-pursuit-of-renewable-hydrocarbons/ </t>
  </si>
  <si>
    <t xml:space="preserve">[5]     Jensen, C.U., Rodriguez Guerrero, J.K., Karatzos, S. et al. Biomass Conv. Bioref. (2017) 7: 495. https://doi.org/10.1007/s13399-017-0248-8 </t>
  </si>
  <si>
    <t xml:space="preserve">[6]     Toms, P. 2017. Hydrofaction™ Oil: A Solution for Decarbonizing Long-haul Transport. https://www.bio.org/sites/default/files/0830AM-Perry%20Toms.pdf </t>
  </si>
  <si>
    <t xml:space="preserve">[7]     Zhu, Y., Biddy, M., Jones, S., Elliott, D., Schmidt, A. 2014. Techno-economic analysis of liquid fuel production from woody biomass via hydrothermal liquefaction (HTL) and upgrading, In Applied Energy, Volume 129, 2014, Pages 384-394, ISSN 0306-2619, https://doi.org/10.1016/j.apenergy.2014.03.053 </t>
  </si>
  <si>
    <t xml:space="preserve">[8]     Licella. 2016. Licella Canfor Joint Venture at the forefront of global bioenergy. http://www.licella.com.au/news/licella-canfor-joint-venture-at-the-forefront-of-global-bioenergy/ </t>
  </si>
  <si>
    <t xml:space="preserve">[9]     C.U. Jensen, J.K.R. Guerrero, S. Karatzos, G. Olofsson and S.B. Iversen, 10 - Hydrofaction™ of forestry residues to drop-in renewable transportation fuels, In Direct Thermochemical Liquefaction for Energy Applications, edited by Lasse Rosendahl,, Woodhead Publishing, 2018, Pages 319-345, ISBN 9780081010297, https://doi.org/10.1016/B978-0-08-101029-7.00009-6. </t>
  </si>
  <si>
    <t xml:space="preserve">[10] Harris Group. 2013. Production of Advanced Biofuels via Liquefaction Hydrothermal Liquefaction Reactor Design. NREL/SR-5100-60642. http://www.ourenergypolicy.org/wp-content/uploads/2015/08/60462.pdf </t>
  </si>
  <si>
    <t xml:space="preserve">[11] Magdeldin, M., Kohl, T., Järvinen, M. 2018. Techno-economic Assessment of Integrated Hydrothermal Liquefaction and Combined Heat and Power Production from Lignocellulose Residues, J. sustain. dev. energy water environ. syst., 6(1), pp 89-113, 2018. https://doi.org/10.13044/j.sdewes.d5.0177 </t>
  </si>
  <si>
    <t xml:space="preserve">[12] Pedersen, T. H., Hansen, N. H., Pérez, O. M., Cabezas, D. E. and Rosendahl, L. A. 2018.  Renewable hydrocarbon fuels from hydrothermal liquefaction: A techno‐economic analysis. Biofuels, Bioprod. Bioref., 12: 213-223. doi:10.1002/bbb.1831 </t>
  </si>
  <si>
    <r>
      <t>[1]</t>
    </r>
    <r>
      <rPr>
        <sz val="8"/>
        <color theme="1"/>
        <rFont val="Times New Roman"/>
        <family val="1"/>
      </rPr>
      <t xml:space="preserve">     </t>
    </r>
    <r>
      <rPr>
        <sz val="8"/>
        <color theme="1"/>
        <rFont val="Calibri"/>
        <family val="2"/>
        <scheme val="minor"/>
      </rPr>
      <t>Personal Communication. 2018. T Jensen, Emmelev A/S</t>
    </r>
  </si>
  <si>
    <r>
      <t>[1]</t>
    </r>
    <r>
      <rPr>
        <sz val="8"/>
        <color rgb="FF000000"/>
        <rFont val="Times New Roman"/>
        <family val="1"/>
      </rPr>
      <t xml:space="preserve">     </t>
    </r>
    <r>
      <rPr>
        <sz val="8"/>
        <color rgb="FF000000"/>
        <rFont val="Calibri"/>
        <family val="2"/>
      </rPr>
      <t>(S&amp;T)</t>
    </r>
    <r>
      <rPr>
        <vertAlign val="superscript"/>
        <sz val="8"/>
        <color rgb="FF000000"/>
        <rFont val="Calibri"/>
        <family val="2"/>
      </rPr>
      <t>2</t>
    </r>
    <r>
      <rPr>
        <sz val="8"/>
        <color rgb="FF000000"/>
        <rFont val="Calibri"/>
        <family val="2"/>
      </rPr>
      <t xml:space="preserve"> Consultants Inc. Database of actual plant performance.</t>
    </r>
  </si>
  <si>
    <r>
      <t>[12]</t>
    </r>
    <r>
      <rPr>
        <sz val="8"/>
        <color rgb="FF000000"/>
        <rFont val="Times New Roman"/>
        <family val="1"/>
      </rPr>
      <t xml:space="preserve"> </t>
    </r>
    <r>
      <rPr>
        <sz val="8"/>
        <color rgb="FF000000"/>
        <rFont val="Calibri"/>
        <family val="2"/>
      </rPr>
      <t>Biofuel Journal. 2017. Third Quarter. Construction begins. Page 40-42.</t>
    </r>
  </si>
  <si>
    <r>
      <t>[4]</t>
    </r>
    <r>
      <rPr>
        <sz val="8"/>
        <color rgb="FF000000"/>
        <rFont val="Times New Roman"/>
        <family val="1"/>
      </rPr>
      <t xml:space="preserve">     </t>
    </r>
    <r>
      <rPr>
        <sz val="8"/>
        <color rgb="FF000000"/>
        <rFont val="Calibri"/>
        <family val="2"/>
      </rPr>
      <t>Biograce Version 4d without the extra 30% processing energy factor.</t>
    </r>
  </si>
  <si>
    <r>
      <t>[7]</t>
    </r>
    <r>
      <rPr>
        <sz val="8"/>
        <color theme="1"/>
        <rFont val="Times New Roman"/>
        <family val="1"/>
      </rPr>
      <t xml:space="preserve">     </t>
    </r>
    <r>
      <rPr>
        <sz val="8"/>
        <color theme="1"/>
        <rFont val="Calibri"/>
        <family val="2"/>
      </rPr>
      <t>Hansen, J., Holstebroe, M., Jensen, M., Rass-Hansen, J., Heiredal-Clausen, T. 2016. SOEC Enabled Biogas Upgrading.</t>
    </r>
    <r>
      <rPr>
        <sz val="8"/>
        <color rgb="FF808080"/>
        <rFont val="Calibri"/>
        <family val="2"/>
      </rPr>
      <t xml:space="preserve"> </t>
    </r>
    <r>
      <rPr>
        <sz val="8"/>
        <color theme="1"/>
        <rFont val="Calibri"/>
        <family val="2"/>
      </rPr>
      <t>12th European SOFC &amp; SOE Forum.</t>
    </r>
  </si>
  <si>
    <r>
      <t>[8]</t>
    </r>
    <r>
      <rPr>
        <sz val="8"/>
        <color theme="1"/>
        <rFont val="Times New Roman"/>
        <family val="1"/>
      </rPr>
      <t xml:space="preserve">     </t>
    </r>
    <r>
      <rPr>
        <sz val="8"/>
        <color theme="1"/>
        <rFont val="Calibri"/>
        <family val="2"/>
      </rPr>
      <t>Udvikling og effektivisering af biogasproduktionen I Danmark – Delrapport 1 og 2, Danish Energy Agency Biogas Taskforce 2015.</t>
    </r>
  </si>
  <si>
    <t>Sheet</t>
  </si>
  <si>
    <t>INDEX</t>
  </si>
  <si>
    <t>81 Biogas Plant, Basic conf.</t>
  </si>
  <si>
    <t>Back to Index</t>
  </si>
  <si>
    <t>81 Biogas Plant, Add. Straw</t>
  </si>
  <si>
    <t>81 Biogas Plant, Add. Org Waste</t>
  </si>
  <si>
    <t>82 Biogas, upgrading</t>
  </si>
  <si>
    <t xml:space="preserve">83 Gasif. Fixed Bed, Producer </t>
  </si>
  <si>
    <t>84 Gasif. CFB, Bio-SNG</t>
  </si>
  <si>
    <t>86 SOEC</t>
  </si>
  <si>
    <t>87 PEM Electrolyser</t>
  </si>
  <si>
    <t>88 Alkaline Electrolyser</t>
  </si>
  <si>
    <t>89 Vegetable oil FAME</t>
  </si>
  <si>
    <t>90 UCO &amp; animal fat FAME</t>
  </si>
  <si>
    <t>92 HVO jet fuel</t>
  </si>
  <si>
    <t>93 1st generation ethanol</t>
  </si>
  <si>
    <t>94 Pyrolysis oils</t>
  </si>
  <si>
    <t>95 Cellulosic ethanol</t>
  </si>
  <si>
    <t>97 Methanol from biomass gasif.</t>
  </si>
  <si>
    <t>98 Methanol from power</t>
  </si>
  <si>
    <t>99 SNG from methan. of biogas</t>
  </si>
  <si>
    <t>100 Hydrothermal liquifaction</t>
  </si>
  <si>
    <t>Typical total plant size MW biodiesel</t>
  </si>
  <si>
    <t>Specific investment (M € /MW)</t>
  </si>
  <si>
    <t>Fixed O&amp;M (M € /MW/year)</t>
  </si>
  <si>
    <t>Variable O&amp;M (€ /MWh)</t>
  </si>
  <si>
    <t>Start-up (M € /MW)</t>
  </si>
  <si>
    <t>Specific density  (kg/l) or (ton/m3)</t>
  </si>
  <si>
    <t>C, J</t>
  </si>
  <si>
    <t>UCO and Animal Fat FAME</t>
  </si>
  <si>
    <t>Typical total plant size MW biodiesel/year</t>
  </si>
  <si>
    <t xml:space="preserve">Biodiesel Output, MWH/MWh </t>
  </si>
  <si>
    <t>Glycerine  Output, MWH/MWh Total Input</t>
  </si>
  <si>
    <t>Naphta Output, MWh/MWh Total Input</t>
  </si>
  <si>
    <t>Fuel Gas Output, MWh/MWh Total Input</t>
  </si>
  <si>
    <t>LPG Output, MWh/MWh Total Input</t>
  </si>
  <si>
    <t>District Heating Output, MWh/MWh Total input</t>
  </si>
  <si>
    <t>Startup (M € /MW)</t>
  </si>
  <si>
    <t>Startup (M € /1,000 t HVO)</t>
  </si>
  <si>
    <t>Specific investment (M € /MW HVO Jet)</t>
  </si>
  <si>
    <t>Specific investment (M € /1000 t HVO Jet)</t>
  </si>
  <si>
    <t xml:space="preserve"> -equipment (%)</t>
  </si>
  <si>
    <t>1st Generation Ethanol</t>
  </si>
  <si>
    <t>Specific investment (M€ /MW Ethanol)</t>
  </si>
  <si>
    <t>Fixed O&amp;M (M€ /MW/year)</t>
  </si>
  <si>
    <t>Steam, Output, MWh/MWh Total Input</t>
  </si>
  <si>
    <t>Power, Output, MWh/MWh Total Input</t>
  </si>
  <si>
    <t>Specific investment (M€ /MW Bio Oil)</t>
  </si>
  <si>
    <t>Fixed O&amp;M (M€ /MW/year Bio Oil)</t>
  </si>
  <si>
    <t>Variable O&amp;M (€ /MWh Bio Oil)</t>
  </si>
  <si>
    <t>Electiricity Output, MWh/MWh Total Input</t>
  </si>
  <si>
    <t>Fixed O&amp;M (M€ /MW/year Ethanol)</t>
  </si>
  <si>
    <t>Variable O&amp;M (€ /MW Ethanol)</t>
  </si>
  <si>
    <t>Jet Fuel Output, MWh/MWh Total Input</t>
  </si>
  <si>
    <t>Diesel Output,  MWh/MWh Total Input</t>
  </si>
  <si>
    <t>Electricity Output, MWh/MWh Total Input</t>
  </si>
  <si>
    <t>Specific investment (M€ /MW Liquids/year)</t>
  </si>
  <si>
    <t>Fixed O&amp;M (M€ /MW /year FT Liquids/year)</t>
  </si>
  <si>
    <t>Variable O&amp;M (€ /MWh FT Liquids/year)</t>
  </si>
  <si>
    <t>District heat  Output, MWh/MWh Total Input</t>
  </si>
  <si>
    <t>2.5</t>
  </si>
  <si>
    <t>Specific investment (M€ /MW Methanol)</t>
  </si>
  <si>
    <t>Fixed O&amp;M (M€ /MW/year Methanol)</t>
  </si>
  <si>
    <t>Variable O&amp;M (€ /MWh methanol)</t>
  </si>
  <si>
    <t>Power to Methanol</t>
  </si>
  <si>
    <t>CO2 Consumption, t/t Methanol</t>
  </si>
  <si>
    <t>Fixed O&amp;M (M€ /MW Methanol/year)</t>
  </si>
  <si>
    <t>A, A1,  B</t>
  </si>
  <si>
    <t>C, E</t>
  </si>
  <si>
    <t>Specific investment (M€ /MW SNG)</t>
  </si>
  <si>
    <t>Fixed O&amp;M (M€ /MW/year SNG)</t>
  </si>
  <si>
    <t>Variable O&amp;M (€ /MWh SNG)</t>
  </si>
  <si>
    <t>Specific investment (M€ / 1000 GJ SNG)</t>
  </si>
  <si>
    <t>20+</t>
  </si>
  <si>
    <t>Specific investment (M€ / MW Bio Oil)</t>
  </si>
  <si>
    <t>Fixed O&amp;M (M€ / MW  Bio Oil/year)</t>
  </si>
  <si>
    <t>Start up (€ /MW  Bio Oil)</t>
  </si>
  <si>
    <t>Specific investment (M€ /1000 t Bio Oil)</t>
  </si>
  <si>
    <t>Start up (M€ /1,000 t Bio Oil)</t>
  </si>
  <si>
    <t>Catalytic Hydropyrolysis conf. 2</t>
  </si>
  <si>
    <t>3, 4</t>
  </si>
  <si>
    <t xml:space="preserve"> </t>
  </si>
  <si>
    <t>C, F</t>
  </si>
  <si>
    <t>5, 11</t>
  </si>
  <si>
    <t>Variable O&amp;M (€ /1,000 t Bio Oil)</t>
  </si>
  <si>
    <t>A.    The plant size range is likely limited by the feedstock availability.</t>
  </si>
  <si>
    <t>B.    The plant size range is typical of the range found in the literature. It is highly uncertain given that there is no commercial demonstration plant in operation yet.</t>
  </si>
  <si>
    <t>C.    Capital costs for nth plant are used for 2050 and earlier costs are estimates.</t>
  </si>
  <si>
    <t>D.    These are based on extrapolated pilot plant results.</t>
  </si>
  <si>
    <t>E.    Nth plant estimates</t>
  </si>
  <si>
    <t>F.    M €/k tonne is million euro per 1,000 tonnes</t>
  </si>
  <si>
    <t>Catalytic Hydroprocessing conf. 1</t>
  </si>
  <si>
    <t>Typical total plant size 1,000 t liquid fuels/year</t>
  </si>
  <si>
    <t>Liquid Fuel Output, MWh/MWh Total Input</t>
  </si>
  <si>
    <t>Biochar, Output, MWh/MWh Total Input</t>
  </si>
  <si>
    <t>Gas Output, MWh/MWh Total Input</t>
  </si>
  <si>
    <t>District Heat MWh/MWh Total Input</t>
  </si>
  <si>
    <t>A. The plant size range is likely limited by the feedstock availability.</t>
  </si>
  <si>
    <t>B. The plant size range is typical of the range found in the literature. It is highly uncertain given that there is no commercial demonstration plant in operation yet.</t>
  </si>
  <si>
    <t>C. These are based on extrapolated pilot plant results.</t>
  </si>
  <si>
    <t>101 Catalytic Hydropyrolysis 2</t>
  </si>
  <si>
    <t>101 Catalytic Hydropyrolysis 1</t>
  </si>
  <si>
    <t>HVO / renwable diesel</t>
  </si>
  <si>
    <t>Gasoline fraction, MWh/MWh Total Input</t>
  </si>
  <si>
    <t>Diesel fraction, MWh/MWh Total Input</t>
  </si>
  <si>
    <t>The data sheet shows the expected energy output and values for the input of industrial organic waste specifically. The values refer to a virtual part of a total plant processing the industrial organic waste. 
A plant including including increased share of industrial organic waste may be composed by adding a basic plant part and an ind. org. waste processing part.</t>
  </si>
  <si>
    <t>Gasifier, biomass, Fischer Tropsch liquid fuels, large scale</t>
  </si>
  <si>
    <t xml:space="preserve">85 Gasif. Ent. Flow FT, liq fu </t>
  </si>
  <si>
    <t>91 Hydrogenated veg oil</t>
  </si>
  <si>
    <t>Specific investment (M€ /l1000 t Liquid Fuels)</t>
  </si>
  <si>
    <t>D, E, F</t>
  </si>
  <si>
    <t>Fixed O&amp;M (1,000 € /MW)</t>
  </si>
  <si>
    <t>Variable O&amp;M (€ /MWh of fuel)</t>
  </si>
  <si>
    <t>Start up (€ /l Liquid Fuel)</t>
  </si>
  <si>
    <r>
      <t>Specific density  (kg/l) or (ton/m</t>
    </r>
    <r>
      <rPr>
        <vertAlign val="superscript"/>
        <sz val="8"/>
        <color theme="1"/>
        <rFont val="Calibri"/>
        <family val="2"/>
        <scheme val="minor"/>
      </rPr>
      <t>3</t>
    </r>
    <r>
      <rPr>
        <sz val="8"/>
        <color theme="1"/>
        <rFont val="Calibri"/>
        <family val="2"/>
        <scheme val="minor"/>
      </rPr>
      <t>)</t>
    </r>
  </si>
  <si>
    <r>
      <t>Notes</t>
    </r>
    <r>
      <rPr>
        <sz val="10.5"/>
        <color theme="1"/>
        <rFont val="Calibri"/>
        <family val="2"/>
        <scheme val="minor"/>
      </rPr>
      <t>:</t>
    </r>
  </si>
  <si>
    <t>D. Tan [5] reports that the hydrogen plant and distillation account for 45% of the total plant costs for configuration 2. The cost for this configuration are therefore 55% of Configuration 2.</t>
  </si>
  <si>
    <r>
      <t>E. N</t>
    </r>
    <r>
      <rPr>
        <vertAlign val="superscript"/>
        <sz val="10.5"/>
        <color theme="1"/>
        <rFont val="Calibri"/>
        <family val="2"/>
        <scheme val="minor"/>
      </rPr>
      <t>th</t>
    </r>
    <r>
      <rPr>
        <sz val="10.5"/>
        <color theme="1"/>
        <rFont val="Calibri"/>
        <family val="2"/>
        <scheme val="minor"/>
      </rPr>
      <t xml:space="preserve"> plant estimates</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</si>
</sst>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 #,##0.00_ ;_ * \-#,##0.00_ ;_ * &quot;-&quot;??_ ;_ @_ "/>
    <numFmt numFmtId="164" formatCode="0.0"/>
    <numFmt numFmtId="165" formatCode="_ * #,##0.0_ ;_ * \-#,##0.0_ ;_ * &quot;-&quot;??_ ;_ @_ "/>
    <numFmt numFmtId="166" formatCode="_ * #,##0_ ;_ * \-#,##0_ ;_ * &quot;-&quot;??_ ;_ @_ "/>
    <numFmt numFmtId="167" formatCode="0.0%"/>
    <numFmt numFmtId="168" formatCode="0_)"/>
    <numFmt numFmtId="169" formatCode="#,##0.0"/>
    <numFmt numFmtId="170" formatCode="_-* #,##0.00_-;\-* #,##0.00_-;_-* &quot;-&quot;??_-;_-@_-"/>
    <numFmt numFmtId="171" formatCode="0.000"/>
  </numFmts>
  <fonts count="65" x14ac:knownFonts="1">
    <font>
      <sz val="11"/>
      <color theme="1"/>
      <name val="Calibri"/>
      <family val="2"/>
      <scheme val="minor"/>
    </font>
    <font>
      <sz val="9"/>
      <name val="Arial"/>
      <family val="2"/>
    </font>
    <font>
      <sz val="9"/>
      <color indexed="8"/>
      <name val="Arial"/>
      <family val="2"/>
    </font>
    <font>
      <b/>
      <sz val="9"/>
      <name val="Arial"/>
      <family val="2"/>
    </font>
    <font>
      <u/>
      <sz val="10"/>
      <color indexed="12"/>
      <name val="Arial"/>
      <family val="2"/>
    </font>
    <font>
      <u/>
      <sz val="9"/>
      <color indexed="12"/>
      <name val="Arial"/>
      <family val="2"/>
    </font>
    <font>
      <b/>
      <sz val="10"/>
      <name val="Arial"/>
      <family val="2"/>
    </font>
    <font>
      <vertAlign val="subscript"/>
      <sz val="9"/>
      <name val="Arial"/>
      <family val="2"/>
    </font>
    <font>
      <sz val="10"/>
      <name val="Arial"/>
      <family val="2"/>
    </font>
    <font>
      <b/>
      <sz val="16"/>
      <color theme="1"/>
      <name val="Arial"/>
      <family val="2"/>
    </font>
    <font>
      <b/>
      <sz val="12"/>
      <name val="Arial"/>
      <family val="2"/>
    </font>
    <font>
      <sz val="12"/>
      <color theme="1"/>
      <name val="Calibri"/>
      <family val="2"/>
      <scheme val="minor"/>
    </font>
    <font>
      <sz val="11"/>
      <color theme="1"/>
      <name val="Calibri"/>
      <family val="2"/>
      <scheme val="minor"/>
    </font>
    <font>
      <sz val="8"/>
      <color theme="1"/>
      <name val="Arial"/>
      <family val="2"/>
    </font>
    <font>
      <vertAlign val="superscript"/>
      <sz val="9"/>
      <name val="Arial"/>
      <family val="2"/>
    </font>
    <font>
      <sz val="11"/>
      <name val="Calibri"/>
      <family val="2"/>
      <scheme val="minor"/>
    </font>
    <font>
      <sz val="8"/>
      <name val="Arial"/>
      <family val="2"/>
    </font>
    <font>
      <b/>
      <sz val="8"/>
      <name val="Arial"/>
      <family val="2"/>
    </font>
    <font>
      <sz val="9"/>
      <color theme="1"/>
      <name val="Arial"/>
      <family val="2"/>
    </font>
    <font>
      <b/>
      <i/>
      <sz val="9"/>
      <name val="Arial"/>
      <family val="2"/>
    </font>
    <font>
      <u/>
      <sz val="11"/>
      <color theme="10"/>
      <name val="Calibri"/>
      <family val="2"/>
      <scheme val="minor"/>
    </font>
    <font>
      <sz val="8"/>
      <name val="Times"/>
      <family val="1"/>
    </font>
    <font>
      <sz val="11"/>
      <color theme="1"/>
      <name val="Arial"/>
      <family val="2"/>
    </font>
    <font>
      <sz val="9"/>
      <color theme="1"/>
      <name val="Calibri"/>
      <family val="2"/>
      <scheme val="minor"/>
    </font>
    <font>
      <b/>
      <i/>
      <sz val="10"/>
      <name val="Arial"/>
      <family val="2"/>
    </font>
    <font>
      <sz val="10"/>
      <color theme="1"/>
      <name val="Calibri"/>
      <family val="2"/>
      <scheme val="minor"/>
    </font>
    <font>
      <b/>
      <sz val="9"/>
      <color theme="1"/>
      <name val="Calibri"/>
      <family val="2"/>
      <scheme val="minor"/>
    </font>
    <font>
      <sz val="12"/>
      <color theme="1"/>
      <name val="Times New Roman"/>
      <family val="1"/>
    </font>
    <font>
      <b/>
      <sz val="10"/>
      <color theme="1"/>
      <name val="Arial"/>
      <family val="2"/>
    </font>
    <font>
      <b/>
      <sz val="8"/>
      <color theme="1"/>
      <name val="Arial"/>
      <family val="2"/>
    </font>
    <font>
      <b/>
      <sz val="9"/>
      <color theme="1"/>
      <name val="Arial"/>
      <family val="2"/>
    </font>
    <font>
      <i/>
      <sz val="9"/>
      <color theme="1"/>
      <name val="Arial"/>
      <family val="2"/>
    </font>
    <font>
      <b/>
      <sz val="11"/>
      <color theme="1"/>
      <name val="Calibri Light"/>
      <family val="2"/>
    </font>
    <font>
      <i/>
      <sz val="11"/>
      <color theme="1"/>
      <name val="Calibri"/>
      <family val="2"/>
      <scheme val="minor"/>
    </font>
    <font>
      <sz val="8"/>
      <color rgb="FFFF0000"/>
      <name val="Arial"/>
      <family val="2"/>
    </font>
    <font>
      <sz val="8"/>
      <color theme="1"/>
      <name val="Times New Roman"/>
      <family val="1"/>
    </font>
    <font>
      <sz val="9"/>
      <color rgb="FF000000"/>
      <name val="Arial"/>
      <family val="2"/>
    </font>
    <font>
      <vertAlign val="subscript"/>
      <sz val="9"/>
      <color rgb="FF000000"/>
      <name val="Arial"/>
      <family val="2"/>
    </font>
    <font>
      <i/>
      <sz val="9"/>
      <color indexed="8"/>
      <name val="Arial"/>
      <family val="2"/>
    </font>
    <font>
      <b/>
      <sz val="8"/>
      <color theme="1"/>
      <name val="Calibri"/>
      <family val="2"/>
      <scheme val="minor"/>
    </font>
    <font>
      <sz val="8"/>
      <color theme="1"/>
      <name val="Calibri"/>
      <family val="2"/>
      <scheme val="minor"/>
    </font>
    <font>
      <sz val="7"/>
      <color theme="1"/>
      <name val="Times New Roman"/>
      <family val="1"/>
    </font>
    <font>
      <sz val="8"/>
      <color rgb="FF000000"/>
      <name val="Arial"/>
      <family val="2"/>
    </font>
    <font>
      <sz val="7"/>
      <color rgb="FF000000"/>
      <name val="Times New Roman"/>
      <family val="1"/>
    </font>
    <font>
      <vertAlign val="superscript"/>
      <sz val="8"/>
      <color rgb="FF000000"/>
      <name val="Arial"/>
      <family val="2"/>
    </font>
    <font>
      <vertAlign val="subscript"/>
      <sz val="8"/>
      <color rgb="FF000000"/>
      <name val="Arial"/>
      <family val="2"/>
    </font>
    <font>
      <sz val="8"/>
      <color rgb="FF000000"/>
      <name val="Times New Roman"/>
      <family val="1"/>
    </font>
    <font>
      <sz val="8"/>
      <color rgb="FF000000"/>
      <name val="Calibri"/>
      <family val="2"/>
    </font>
    <font>
      <vertAlign val="superscript"/>
      <sz val="8"/>
      <color rgb="FF000000"/>
      <name val="Calibri"/>
      <family val="2"/>
    </font>
    <font>
      <sz val="8"/>
      <color theme="1"/>
      <name val="Calibri"/>
      <family val="2"/>
    </font>
    <font>
      <sz val="8"/>
      <color rgb="FF808080"/>
      <name val="Calibri"/>
      <family val="2"/>
    </font>
    <font>
      <b/>
      <sz val="11"/>
      <color theme="1"/>
      <name val="Calibri"/>
      <family val="2"/>
      <scheme val="minor"/>
    </font>
    <font>
      <sz val="10"/>
      <name val="Helv"/>
    </font>
    <font>
      <sz val="11"/>
      <color indexed="62"/>
      <name val="Calibri"/>
      <family val="2"/>
    </font>
    <font>
      <sz val="11"/>
      <color indexed="60"/>
      <name val="Calibri"/>
      <family val="2"/>
    </font>
    <font>
      <b/>
      <sz val="11"/>
      <color indexed="63"/>
      <name val="Calibri"/>
      <family val="2"/>
    </font>
    <font>
      <b/>
      <sz val="11"/>
      <color indexed="8"/>
      <name val="Calibri"/>
      <family val="2"/>
    </font>
    <font>
      <b/>
      <sz val="18"/>
      <color theme="1"/>
      <name val="Calibri"/>
      <family val="2"/>
      <scheme val="minor"/>
    </font>
    <font>
      <b/>
      <sz val="11"/>
      <name val="Arial"/>
      <family val="2"/>
    </font>
    <font>
      <b/>
      <i/>
      <sz val="8"/>
      <color theme="1"/>
      <name val="Calibri"/>
      <family val="2"/>
      <scheme val="minor"/>
    </font>
    <font>
      <sz val="8"/>
      <color rgb="FF000000"/>
      <name val="Calibri"/>
      <family val="2"/>
      <scheme val="minor"/>
    </font>
    <font>
      <vertAlign val="superscript"/>
      <sz val="8"/>
      <color theme="1"/>
      <name val="Calibri"/>
      <family val="2"/>
      <scheme val="minor"/>
    </font>
    <font>
      <sz val="10.5"/>
      <color theme="1"/>
      <name val="Calibri"/>
      <family val="2"/>
      <scheme val="minor"/>
    </font>
    <font>
      <b/>
      <sz val="10.5"/>
      <color theme="1"/>
      <name val="Calibri"/>
      <family val="2"/>
      <scheme val="minor"/>
    </font>
    <font>
      <vertAlign val="superscript"/>
      <sz val="10.5"/>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FFFF"/>
        <bgColor indexed="64"/>
      </patternFill>
    </fill>
    <fill>
      <patternFill patternType="solid">
        <fgColor indexed="47"/>
      </patternFill>
    </fill>
    <fill>
      <patternFill patternType="solid">
        <fgColor indexed="43"/>
      </patternFill>
    </fill>
    <fill>
      <patternFill patternType="solid">
        <fgColor indexed="22"/>
      </patternFill>
    </fill>
  </fills>
  <borders count="30">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indexed="64"/>
      </right>
      <top/>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style="thin">
        <color indexed="64"/>
      </right>
      <top style="thin">
        <color indexed="64"/>
      </top>
      <bottom/>
      <diagonal/>
    </border>
  </borders>
  <cellStyleXfs count="31">
    <xf numFmtId="0" fontId="0" fillId="0" borderId="0"/>
    <xf numFmtId="0" fontId="4" fillId="0" borderId="0" applyNumberFormat="0" applyFill="0" applyBorder="0" applyAlignment="0" applyProtection="0">
      <alignment vertical="top"/>
      <protection locked="0"/>
    </xf>
    <xf numFmtId="9" fontId="12" fillId="0" borderId="0" applyFont="0" applyFill="0" applyBorder="0" applyAlignment="0" applyProtection="0"/>
    <xf numFmtId="43" fontId="12" fillId="0" borderId="0" applyFont="0" applyFill="0" applyBorder="0" applyAlignment="0" applyProtection="0"/>
    <xf numFmtId="0" fontId="8" fillId="0" borderId="0"/>
    <xf numFmtId="43" fontId="12" fillId="0" borderId="0" applyFont="0" applyFill="0" applyBorder="0" applyAlignment="0" applyProtection="0"/>
    <xf numFmtId="0" fontId="20" fillId="0" borderId="0" applyNumberFormat="0" applyFill="0" applyBorder="0" applyAlignment="0" applyProtection="0"/>
    <xf numFmtId="168" fontId="21" fillId="0" borderId="0"/>
    <xf numFmtId="168" fontId="21" fillId="0" borderId="0"/>
    <xf numFmtId="9" fontId="8" fillId="0" borderId="0" applyFont="0" applyFill="0" applyBorder="0" applyAlignment="0" applyProtection="0"/>
    <xf numFmtId="170" fontId="12" fillId="0" borderId="0" applyFont="0" applyFill="0" applyBorder="0" applyAlignment="0" applyProtection="0"/>
    <xf numFmtId="43" fontId="12" fillId="0" borderId="0" applyFont="0" applyFill="0" applyBorder="0" applyAlignment="0" applyProtection="0"/>
    <xf numFmtId="0" fontId="52" fillId="0" borderId="0"/>
    <xf numFmtId="0" fontId="52" fillId="0" borderId="0"/>
    <xf numFmtId="0" fontId="4" fillId="0" borderId="0" applyNumberFormat="0" applyFill="0" applyBorder="0" applyAlignment="0" applyProtection="0">
      <alignment vertical="top"/>
      <protection locked="0"/>
    </xf>
    <xf numFmtId="0" fontId="20" fillId="0" borderId="0" applyNumberFormat="0" applyFill="0" applyBorder="0" applyAlignment="0" applyProtection="0"/>
    <xf numFmtId="0" fontId="53" fillId="5" borderId="22" applyNumberFormat="0" applyAlignment="0" applyProtection="0"/>
    <xf numFmtId="170" fontId="12" fillId="0" borderId="0" applyFont="0" applyFill="0" applyBorder="0" applyAlignment="0" applyProtection="0"/>
    <xf numFmtId="43" fontId="52" fillId="0" borderId="0" applyFont="0" applyFill="0" applyBorder="0" applyAlignment="0" applyProtection="0"/>
    <xf numFmtId="0" fontId="54" fillId="6" borderId="0" applyNumberFormat="0" applyBorder="0" applyAlignment="0" applyProtection="0"/>
    <xf numFmtId="0" fontId="52" fillId="0" borderId="0"/>
    <xf numFmtId="0" fontId="8" fillId="0" borderId="0"/>
    <xf numFmtId="0" fontId="8" fillId="0" borderId="0"/>
    <xf numFmtId="0" fontId="55" fillId="7" borderId="23" applyNumberFormat="0" applyAlignment="0" applyProtection="0"/>
    <xf numFmtId="0" fontId="52" fillId="0" borderId="0"/>
    <xf numFmtId="9" fontId="8" fillId="0" borderId="0" applyFont="0" applyFill="0" applyBorder="0" applyAlignment="0" applyProtection="0"/>
    <xf numFmtId="9" fontId="8" fillId="0" borderId="0" applyFont="0" applyFill="0" applyBorder="0" applyAlignment="0" applyProtection="0"/>
    <xf numFmtId="0" fontId="56" fillId="0" borderId="24" applyNumberFormat="0" applyFill="0" applyAlignment="0" applyProtection="0"/>
    <xf numFmtId="0" fontId="53" fillId="5" borderId="25" applyNumberFormat="0" applyAlignment="0" applyProtection="0"/>
    <xf numFmtId="0" fontId="55" fillId="7" borderId="26" applyNumberFormat="0" applyAlignment="0" applyProtection="0"/>
    <xf numFmtId="0" fontId="56" fillId="0" borderId="27" applyNumberFormat="0" applyFill="0" applyAlignment="0" applyProtection="0"/>
  </cellStyleXfs>
  <cellXfs count="683">
    <xf numFmtId="0" fontId="0" fillId="0" borderId="0" xfId="0"/>
    <xf numFmtId="0" fontId="1" fillId="0" borderId="0" xfId="0" applyFont="1"/>
    <xf numFmtId="2" fontId="1" fillId="0" borderId="0" xfId="0" applyNumberFormat="1" applyFont="1"/>
    <xf numFmtId="164" fontId="1" fillId="0" borderId="0" xfId="0" applyNumberFormat="1" applyFont="1"/>
    <xf numFmtId="0" fontId="1" fillId="2" borderId="0" xfId="0" applyFont="1" applyFill="1" applyAlignment="1">
      <alignment horizontal="right" vertical="top"/>
    </xf>
    <xf numFmtId="0" fontId="1" fillId="2" borderId="0" xfId="0" applyFont="1" applyFill="1"/>
    <xf numFmtId="0" fontId="3" fillId="2" borderId="0" xfId="0" applyFont="1" applyFill="1"/>
    <xf numFmtId="0" fontId="5" fillId="2" borderId="0" xfId="1" applyFont="1" applyFill="1" applyAlignment="1" applyProtection="1">
      <alignment vertical="top" wrapText="1"/>
    </xf>
    <xf numFmtId="0" fontId="1" fillId="2" borderId="2" xfId="0" applyFont="1" applyFill="1" applyBorder="1" applyAlignment="1">
      <alignment vertical="top" wrapText="1"/>
    </xf>
    <xf numFmtId="0" fontId="6" fillId="2" borderId="6" xfId="0" applyFont="1" applyFill="1" applyBorder="1" applyAlignment="1">
      <alignment vertical="top" wrapText="1"/>
    </xf>
    <xf numFmtId="0" fontId="0" fillId="0" borderId="0" xfId="0" applyBorder="1"/>
    <xf numFmtId="0" fontId="8" fillId="2" borderId="0" xfId="0" applyFont="1" applyFill="1" applyBorder="1" applyAlignment="1">
      <alignment vertical="top" wrapText="1"/>
    </xf>
    <xf numFmtId="0" fontId="1" fillId="2" borderId="0" xfId="0" applyFont="1" applyFill="1" applyBorder="1" applyAlignment="1">
      <alignment horizontal="center" vertical="top" wrapText="1"/>
    </xf>
    <xf numFmtId="43" fontId="1" fillId="0" borderId="0" xfId="3" applyFont="1"/>
    <xf numFmtId="43" fontId="0" fillId="0" borderId="0" xfId="3" applyFont="1"/>
    <xf numFmtId="0" fontId="3" fillId="2" borderId="0" xfId="0" applyFont="1" applyFill="1" applyAlignment="1">
      <alignment vertical="top" wrapText="1"/>
    </xf>
    <xf numFmtId="0" fontId="9" fillId="2" borderId="0" xfId="0" applyFont="1" applyFill="1"/>
    <xf numFmtId="1" fontId="1" fillId="2" borderId="0" xfId="0" applyNumberFormat="1" applyFont="1" applyFill="1" applyAlignment="1">
      <alignment vertical="top"/>
    </xf>
    <xf numFmtId="1" fontId="1" fillId="2" borderId="0" xfId="3" applyNumberFormat="1" applyFont="1" applyFill="1" applyAlignment="1">
      <alignment vertical="top"/>
    </xf>
    <xf numFmtId="1" fontId="3" fillId="2" borderId="0" xfId="0" applyNumberFormat="1" applyFont="1" applyFill="1" applyAlignment="1">
      <alignment vertical="top"/>
    </xf>
    <xf numFmtId="0" fontId="2" fillId="2" borderId="0" xfId="0" applyFont="1" applyFill="1" applyAlignment="1">
      <alignment vertical="top" wrapText="1"/>
    </xf>
    <xf numFmtId="0" fontId="1" fillId="0" borderId="6" xfId="0" applyFont="1" applyFill="1" applyBorder="1" applyAlignment="1">
      <alignment horizontal="center" vertical="top" wrapText="1"/>
    </xf>
    <xf numFmtId="0" fontId="1" fillId="0" borderId="0" xfId="0" applyFont="1" applyAlignment="1">
      <alignment vertical="top" wrapText="1"/>
    </xf>
    <xf numFmtId="0" fontId="1" fillId="2" borderId="0" xfId="0" applyFont="1" applyFill="1" applyAlignment="1">
      <alignment vertical="top"/>
    </xf>
    <xf numFmtId="0" fontId="1" fillId="0" borderId="0" xfId="0" applyFont="1" applyAlignment="1">
      <alignment wrapText="1"/>
    </xf>
    <xf numFmtId="1" fontId="1" fillId="0" borderId="0" xfId="0" applyNumberFormat="1" applyFont="1" applyFill="1" applyBorder="1" applyAlignment="1">
      <alignment horizontal="center" vertical="top" wrapText="1"/>
    </xf>
    <xf numFmtId="0" fontId="1" fillId="0" borderId="6" xfId="0" applyFont="1" applyFill="1" applyBorder="1" applyAlignment="1">
      <alignment vertical="top" wrapText="1"/>
    </xf>
    <xf numFmtId="0" fontId="1" fillId="0" borderId="0" xfId="0" applyFont="1" applyFill="1" applyBorder="1" applyAlignment="1">
      <alignment horizontal="center" vertical="top" wrapText="1"/>
    </xf>
    <xf numFmtId="0" fontId="6" fillId="0" borderId="5" xfId="0" quotePrefix="1" applyFont="1" applyFill="1" applyBorder="1" applyAlignment="1">
      <alignment vertical="top" wrapText="1"/>
    </xf>
    <xf numFmtId="0" fontId="8" fillId="0" borderId="5" xfId="0" applyFont="1" applyFill="1" applyBorder="1" applyAlignment="1">
      <alignment vertical="top" wrapText="1"/>
    </xf>
    <xf numFmtId="0" fontId="1" fillId="0" borderId="7" xfId="0" applyFont="1" applyFill="1" applyBorder="1" applyAlignment="1">
      <alignment vertical="top" wrapText="1"/>
    </xf>
    <xf numFmtId="0" fontId="1" fillId="0" borderId="3" xfId="0" applyFont="1" applyFill="1" applyBorder="1" applyAlignment="1">
      <alignment horizontal="center" vertical="top" wrapText="1"/>
    </xf>
    <xf numFmtId="0" fontId="1" fillId="0" borderId="8" xfId="0" applyFont="1" applyFill="1" applyBorder="1" applyAlignment="1">
      <alignment vertical="top" wrapText="1"/>
    </xf>
    <xf numFmtId="0" fontId="6" fillId="0" borderId="7" xfId="0" quotePrefix="1" applyFont="1" applyFill="1" applyBorder="1" applyAlignment="1">
      <alignment vertical="top" wrapText="1"/>
    </xf>
    <xf numFmtId="0" fontId="13" fillId="0" borderId="6" xfId="0" applyFont="1" applyFill="1" applyBorder="1" applyAlignment="1">
      <alignment vertical="center" wrapText="1"/>
    </xf>
    <xf numFmtId="164" fontId="1" fillId="0" borderId="6" xfId="0" applyNumberFormat="1" applyFont="1" applyFill="1" applyBorder="1" applyAlignment="1">
      <alignment horizontal="center" vertical="top" wrapText="1"/>
    </xf>
    <xf numFmtId="0" fontId="6" fillId="0" borderId="5" xfId="0" applyFont="1" applyFill="1" applyBorder="1" applyAlignment="1">
      <alignment vertical="top" wrapText="1"/>
    </xf>
    <xf numFmtId="0" fontId="6" fillId="0" borderId="3" xfId="0" applyFont="1" applyFill="1" applyBorder="1" applyAlignment="1">
      <alignment vertical="top" wrapText="1"/>
    </xf>
    <xf numFmtId="2" fontId="1" fillId="0" borderId="0" xfId="0" applyNumberFormat="1" applyFont="1" applyFill="1" applyBorder="1" applyAlignment="1">
      <alignment horizontal="center" vertical="top" wrapText="1"/>
    </xf>
    <xf numFmtId="0" fontId="1" fillId="0" borderId="0" xfId="0" applyFont="1" applyFill="1"/>
    <xf numFmtId="0" fontId="1" fillId="0" borderId="0" xfId="0" applyFont="1" applyAlignment="1"/>
    <xf numFmtId="0" fontId="1" fillId="0" borderId="0" xfId="0" applyFont="1" applyFill="1" applyAlignment="1">
      <alignment vertical="top" wrapText="1"/>
    </xf>
    <xf numFmtId="0" fontId="4" fillId="0" borderId="0" xfId="1" applyAlignment="1" applyProtection="1">
      <alignment vertical="center"/>
    </xf>
    <xf numFmtId="0" fontId="0" fillId="0" borderId="0" xfId="0" applyAlignment="1">
      <alignment wrapText="1"/>
    </xf>
    <xf numFmtId="0" fontId="6" fillId="0" borderId="4" xfId="0" applyFont="1" applyFill="1" applyBorder="1" applyAlignment="1">
      <alignment vertical="top" wrapText="1"/>
    </xf>
    <xf numFmtId="1" fontId="3" fillId="2" borderId="0" xfId="0" applyNumberFormat="1" applyFont="1" applyFill="1" applyAlignment="1"/>
    <xf numFmtId="0" fontId="6" fillId="2" borderId="6" xfId="0" applyFont="1" applyFill="1" applyBorder="1" applyAlignment="1">
      <alignment vertical="center" wrapText="1"/>
    </xf>
    <xf numFmtId="0" fontId="1" fillId="2" borderId="6" xfId="0" applyFont="1" applyFill="1" applyBorder="1" applyAlignment="1">
      <alignment vertical="center" wrapText="1"/>
    </xf>
    <xf numFmtId="0" fontId="6" fillId="0" borderId="6" xfId="0" applyFont="1" applyFill="1" applyBorder="1" applyAlignment="1">
      <alignment vertical="center" wrapText="1"/>
    </xf>
    <xf numFmtId="0" fontId="1" fillId="0" borderId="6" xfId="0" applyFont="1" applyFill="1" applyBorder="1" applyAlignment="1">
      <alignment vertical="center" wrapText="1"/>
    </xf>
    <xf numFmtId="0" fontId="1" fillId="0" borderId="6" xfId="0" applyFont="1" applyFill="1" applyBorder="1" applyAlignment="1">
      <alignment horizontal="center" vertical="center" wrapText="1"/>
    </xf>
    <xf numFmtId="0" fontId="6" fillId="0" borderId="6" xfId="0" quotePrefix="1" applyFont="1" applyFill="1" applyBorder="1" applyAlignment="1">
      <alignment vertical="center" wrapText="1"/>
    </xf>
    <xf numFmtId="0" fontId="8" fillId="0" borderId="6" xfId="0" applyFont="1" applyFill="1" applyBorder="1" applyAlignment="1">
      <alignment vertical="center" wrapText="1"/>
    </xf>
    <xf numFmtId="1" fontId="1" fillId="0" borderId="6" xfId="0" applyNumberFormat="1" applyFont="1" applyFill="1" applyBorder="1" applyAlignment="1">
      <alignment horizontal="center" vertical="center" wrapText="1"/>
    </xf>
    <xf numFmtId="164" fontId="1" fillId="0" borderId="6" xfId="0" applyNumberFormat="1" applyFont="1" applyFill="1" applyBorder="1" applyAlignment="1">
      <alignment horizontal="center" vertical="center" wrapText="1"/>
    </xf>
    <xf numFmtId="2" fontId="1" fillId="0" borderId="6" xfId="0" applyNumberFormat="1" applyFont="1" applyFill="1" applyBorder="1" applyAlignment="1">
      <alignment horizontal="center" vertical="center" wrapText="1"/>
    </xf>
    <xf numFmtId="0" fontId="1" fillId="0" borderId="6" xfId="0" quotePrefix="1" applyFont="1" applyFill="1" applyBorder="1" applyAlignment="1">
      <alignment horizontal="center" vertical="center" wrapText="1"/>
    </xf>
    <xf numFmtId="0" fontId="16" fillId="0" borderId="6" xfId="0" applyFont="1" applyFill="1" applyBorder="1" applyAlignment="1">
      <alignment vertical="center" wrapText="1"/>
    </xf>
    <xf numFmtId="0" fontId="6" fillId="0" borderId="6" xfId="0" applyFont="1" applyFill="1" applyBorder="1" applyAlignment="1">
      <alignment horizontal="center" vertical="center" wrapText="1"/>
    </xf>
    <xf numFmtId="0" fontId="1" fillId="0" borderId="0" xfId="0" applyFont="1" applyFill="1" applyAlignment="1">
      <alignment horizontal="center"/>
    </xf>
    <xf numFmtId="0" fontId="1" fillId="2" borderId="0" xfId="0" applyFont="1" applyFill="1" applyAlignment="1">
      <alignment horizontal="center" vertical="top" wrapText="1"/>
    </xf>
    <xf numFmtId="0" fontId="3" fillId="2" borderId="0" xfId="0" applyFont="1" applyFill="1" applyAlignment="1">
      <alignment horizontal="center" vertical="top" wrapText="1"/>
    </xf>
    <xf numFmtId="0" fontId="1" fillId="0" borderId="0" xfId="0" applyFont="1" applyAlignment="1">
      <alignment horizontal="center"/>
    </xf>
    <xf numFmtId="0" fontId="1" fillId="0" borderId="0" xfId="0" applyFont="1" applyAlignment="1">
      <alignment horizontal="center" vertical="top" wrapText="1"/>
    </xf>
    <xf numFmtId="0" fontId="6" fillId="0" borderId="6" xfId="0" applyFont="1" applyFill="1" applyBorder="1" applyAlignment="1">
      <alignment vertical="center"/>
    </xf>
    <xf numFmtId="0" fontId="16" fillId="0" borderId="6" xfId="0" applyFont="1" applyFill="1" applyBorder="1" applyAlignment="1">
      <alignment horizontal="center" vertical="center" wrapText="1"/>
    </xf>
    <xf numFmtId="0" fontId="17" fillId="0" borderId="6" xfId="0" applyFont="1" applyFill="1" applyBorder="1" applyAlignment="1">
      <alignment horizontal="center" vertical="center" wrapText="1"/>
    </xf>
    <xf numFmtId="0" fontId="16" fillId="2" borderId="6" xfId="0" applyFont="1" applyFill="1" applyBorder="1" applyAlignment="1">
      <alignment horizontal="center" vertical="center" wrapText="1"/>
    </xf>
    <xf numFmtId="0" fontId="3" fillId="0" borderId="6" xfId="0" applyFont="1" applyFill="1" applyBorder="1" applyAlignment="1">
      <alignment horizontal="center" vertical="center" wrapText="1"/>
    </xf>
    <xf numFmtId="0" fontId="3" fillId="0" borderId="6" xfId="0" applyFont="1" applyFill="1" applyBorder="1" applyAlignment="1">
      <alignment horizontal="center" vertical="top" wrapText="1"/>
    </xf>
    <xf numFmtId="0" fontId="3" fillId="2" borderId="1" xfId="0" applyFont="1" applyFill="1" applyBorder="1" applyAlignment="1">
      <alignment horizontal="center" vertical="top" wrapText="1"/>
    </xf>
    <xf numFmtId="0" fontId="3" fillId="0" borderId="6" xfId="0" applyFont="1" applyFill="1" applyBorder="1" applyAlignment="1">
      <alignment vertical="top" wrapText="1"/>
    </xf>
    <xf numFmtId="0" fontId="1" fillId="0" borderId="5" xfId="0" applyFont="1" applyFill="1" applyBorder="1" applyAlignment="1">
      <alignment vertical="top" wrapText="1"/>
    </xf>
    <xf numFmtId="0" fontId="18" fillId="0" borderId="6" xfId="0" applyFont="1" applyFill="1" applyBorder="1" applyAlignment="1">
      <alignment vertical="center" wrapText="1"/>
    </xf>
    <xf numFmtId="0" fontId="6" fillId="0" borderId="7" xfId="0" applyFont="1" applyFill="1" applyBorder="1" applyAlignment="1">
      <alignment vertical="top" wrapText="1"/>
    </xf>
    <xf numFmtId="0" fontId="1" fillId="2" borderId="0" xfId="0" applyFont="1" applyFill="1" applyAlignment="1">
      <alignment horizontal="right" vertical="top" wrapText="1"/>
    </xf>
    <xf numFmtId="0" fontId="1" fillId="0" borderId="6" xfId="0" applyFont="1" applyFill="1" applyBorder="1" applyAlignment="1">
      <alignment vertical="center"/>
    </xf>
    <xf numFmtId="43" fontId="1" fillId="2" borderId="0" xfId="3" applyFont="1" applyFill="1" applyBorder="1" applyAlignment="1">
      <alignment vertical="top" wrapText="1"/>
    </xf>
    <xf numFmtId="0" fontId="1" fillId="2" borderId="0" xfId="0" applyFont="1" applyFill="1" applyAlignment="1">
      <alignment vertical="top" wrapText="1"/>
    </xf>
    <xf numFmtId="0" fontId="6" fillId="2" borderId="0" xfId="0" applyFont="1" applyFill="1" applyBorder="1" applyAlignment="1">
      <alignment vertical="top" wrapText="1"/>
    </xf>
    <xf numFmtId="17" fontId="3" fillId="2" borderId="0" xfId="0" quotePrefix="1" applyNumberFormat="1" applyFont="1" applyFill="1" applyBorder="1" applyAlignment="1">
      <alignment horizontal="center" vertical="top" wrapText="1"/>
    </xf>
    <xf numFmtId="0" fontId="0" fillId="2" borderId="0" xfId="0" applyFill="1" applyBorder="1" applyAlignment="1">
      <alignment vertical="top" wrapText="1"/>
    </xf>
    <xf numFmtId="0" fontId="1" fillId="2" borderId="0" xfId="0" applyFont="1" applyFill="1" applyBorder="1" applyAlignment="1">
      <alignment vertical="top" wrapText="1"/>
    </xf>
    <xf numFmtId="0" fontId="0" fillId="0" borderId="0" xfId="0" applyAlignment="1"/>
    <xf numFmtId="0" fontId="6" fillId="2" borderId="6" xfId="0" applyFont="1" applyFill="1" applyBorder="1" applyAlignment="1">
      <alignment horizontal="center" vertical="center" wrapText="1"/>
    </xf>
    <xf numFmtId="0" fontId="6" fillId="2" borderId="0" xfId="0" applyFont="1" applyFill="1" applyBorder="1" applyAlignment="1">
      <alignment horizontal="center" vertical="top" wrapText="1"/>
    </xf>
    <xf numFmtId="0" fontId="6" fillId="0" borderId="6" xfId="0" applyFont="1" applyFill="1" applyBorder="1" applyAlignment="1">
      <alignment vertical="top" wrapText="1"/>
    </xf>
    <xf numFmtId="0" fontId="6" fillId="0" borderId="8" xfId="0" applyFont="1" applyFill="1" applyBorder="1" applyAlignment="1">
      <alignment vertical="top" wrapText="1"/>
    </xf>
    <xf numFmtId="0" fontId="6" fillId="0" borderId="9" xfId="0" applyFont="1" applyFill="1" applyBorder="1" applyAlignment="1">
      <alignment vertical="top" wrapText="1"/>
    </xf>
    <xf numFmtId="0" fontId="18" fillId="0" borderId="6" xfId="0" applyFont="1" applyBorder="1" applyAlignment="1">
      <alignment horizontal="center" vertical="center" wrapText="1"/>
    </xf>
    <xf numFmtId="164" fontId="18" fillId="0" borderId="6" xfId="0" applyNumberFormat="1" applyFont="1" applyBorder="1" applyAlignment="1">
      <alignment horizontal="center" vertical="center" wrapText="1"/>
    </xf>
    <xf numFmtId="0" fontId="1" fillId="2" borderId="0" xfId="0" applyFont="1" applyFill="1" applyBorder="1" applyAlignment="1">
      <alignment vertical="top"/>
    </xf>
    <xf numFmtId="0" fontId="1" fillId="2" borderId="0" xfId="0" applyFont="1" applyFill="1" applyBorder="1" applyAlignment="1">
      <alignment horizontal="center" vertical="top"/>
    </xf>
    <xf numFmtId="164" fontId="1" fillId="2" borderId="0" xfId="0" applyNumberFormat="1" applyFont="1" applyFill="1" applyBorder="1" applyAlignment="1">
      <alignment horizontal="center" vertical="top"/>
    </xf>
    <xf numFmtId="166" fontId="1" fillId="2" borderId="0" xfId="3" applyNumberFormat="1" applyFont="1" applyFill="1" applyBorder="1" applyAlignment="1">
      <alignment horizontal="center" vertical="top"/>
    </xf>
    <xf numFmtId="0" fontId="18" fillId="0" borderId="8" xfId="0" applyFont="1" applyBorder="1" applyAlignment="1">
      <alignment horizontal="center" vertical="center" wrapText="1"/>
    </xf>
    <xf numFmtId="166" fontId="1" fillId="2" borderId="6" xfId="3" applyNumberFormat="1" applyFont="1" applyFill="1" applyBorder="1" applyAlignment="1">
      <alignment horizontal="center" vertical="center"/>
    </xf>
    <xf numFmtId="0" fontId="1" fillId="0" borderId="6" xfId="3" applyNumberFormat="1" applyFont="1" applyFill="1" applyBorder="1" applyAlignment="1">
      <alignment horizontal="center" vertical="center" wrapText="1"/>
    </xf>
    <xf numFmtId="43" fontId="1" fillId="2" borderId="0" xfId="3" applyFont="1" applyFill="1" applyBorder="1" applyAlignment="1">
      <alignment vertical="top" wrapText="1"/>
    </xf>
    <xf numFmtId="0" fontId="1" fillId="2" borderId="0" xfId="0" applyFont="1" applyFill="1" applyAlignment="1">
      <alignment vertical="top" wrapText="1"/>
    </xf>
    <xf numFmtId="0" fontId="1" fillId="2" borderId="0" xfId="0" applyFont="1" applyFill="1" applyBorder="1" applyAlignment="1">
      <alignment vertical="top" wrapText="1"/>
    </xf>
    <xf numFmtId="0" fontId="6" fillId="2" borderId="10" xfId="0" applyFont="1" applyFill="1" applyBorder="1" applyAlignment="1">
      <alignment vertical="top" wrapText="1"/>
    </xf>
    <xf numFmtId="0" fontId="1" fillId="2" borderId="14" xfId="0" applyFont="1" applyFill="1" applyBorder="1" applyAlignment="1">
      <alignment vertical="top" wrapText="1"/>
    </xf>
    <xf numFmtId="0" fontId="6" fillId="2" borderId="15" xfId="0" applyFont="1" applyFill="1" applyBorder="1" applyAlignment="1">
      <alignment horizontal="center" vertical="top" wrapText="1"/>
    </xf>
    <xf numFmtId="0" fontId="6" fillId="2" borderId="11" xfId="0" applyFont="1" applyFill="1" applyBorder="1" applyAlignment="1">
      <alignment vertical="top" wrapText="1"/>
    </xf>
    <xf numFmtId="0" fontId="6" fillId="2" borderId="13" xfId="0" applyFont="1" applyFill="1" applyBorder="1" applyAlignment="1">
      <alignment vertical="top" wrapText="1"/>
    </xf>
    <xf numFmtId="0" fontId="6" fillId="2" borderId="12" xfId="0" applyFont="1" applyFill="1" applyBorder="1" applyAlignment="1">
      <alignment vertical="top" wrapText="1"/>
    </xf>
    <xf numFmtId="0" fontId="1" fillId="2" borderId="8" xfId="0" applyFont="1" applyFill="1" applyBorder="1" applyAlignment="1">
      <alignment vertical="top" wrapText="1"/>
    </xf>
    <xf numFmtId="0" fontId="1" fillId="2" borderId="8" xfId="0" applyFont="1" applyFill="1" applyBorder="1" applyAlignment="1">
      <alignment horizontal="center" vertical="top" wrapText="1"/>
    </xf>
    <xf numFmtId="0" fontId="1" fillId="2" borderId="10" xfId="0" applyFont="1" applyFill="1" applyBorder="1" applyAlignment="1">
      <alignment vertical="top" wrapText="1"/>
    </xf>
    <xf numFmtId="164" fontId="1" fillId="0" borderId="10" xfId="0" applyNumberFormat="1" applyFont="1" applyFill="1" applyBorder="1" applyAlignment="1">
      <alignment horizontal="center" vertical="top" wrapText="1"/>
    </xf>
    <xf numFmtId="0" fontId="1" fillId="2" borderId="10" xfId="0" applyFont="1" applyFill="1" applyBorder="1" applyAlignment="1">
      <alignment horizontal="center" vertical="top" wrapText="1"/>
    </xf>
    <xf numFmtId="49" fontId="1" fillId="2" borderId="10" xfId="0" applyNumberFormat="1" applyFont="1" applyFill="1" applyBorder="1" applyAlignment="1">
      <alignment horizontal="center" vertical="top" wrapText="1"/>
    </xf>
    <xf numFmtId="0" fontId="0" fillId="0" borderId="10" xfId="0" applyBorder="1"/>
    <xf numFmtId="0" fontId="19" fillId="2" borderId="10" xfId="0" quotePrefix="1" applyFont="1" applyFill="1" applyBorder="1" applyAlignment="1">
      <alignment vertical="top" wrapText="1"/>
    </xf>
    <xf numFmtId="0" fontId="1" fillId="0" borderId="10" xfId="0" applyFont="1" applyFill="1" applyBorder="1" applyAlignment="1">
      <alignment vertical="top" wrapText="1"/>
    </xf>
    <xf numFmtId="0" fontId="8" fillId="0" borderId="10" xfId="0" applyFont="1" applyFill="1" applyBorder="1" applyAlignment="1">
      <alignment vertical="top" wrapText="1"/>
    </xf>
    <xf numFmtId="0" fontId="1" fillId="0" borderId="10" xfId="0" applyFont="1" applyFill="1" applyBorder="1" applyAlignment="1">
      <alignment horizontal="center" vertical="top" wrapText="1"/>
    </xf>
    <xf numFmtId="0" fontId="8" fillId="0" borderId="10" xfId="0" applyFont="1" applyFill="1" applyBorder="1" applyAlignment="1">
      <alignment horizontal="left" vertical="top" wrapText="1" indent="1"/>
    </xf>
    <xf numFmtId="0" fontId="0" fillId="0" borderId="10" xfId="0" applyBorder="1" applyAlignment="1">
      <alignment horizontal="center"/>
    </xf>
    <xf numFmtId="9" fontId="1" fillId="0" borderId="10" xfId="0" applyNumberFormat="1" applyFont="1" applyFill="1" applyBorder="1" applyAlignment="1">
      <alignment horizontal="center" vertical="top" wrapText="1"/>
    </xf>
    <xf numFmtId="0" fontId="19" fillId="0" borderId="10" xfId="0" quotePrefix="1" applyFont="1" applyFill="1" applyBorder="1" applyAlignment="1">
      <alignment vertical="top" wrapText="1"/>
    </xf>
    <xf numFmtId="165" fontId="1" fillId="0" borderId="10" xfId="3" applyNumberFormat="1" applyFont="1" applyFill="1" applyBorder="1" applyAlignment="1">
      <alignment vertical="top" wrapText="1"/>
    </xf>
    <xf numFmtId="0" fontId="0" fillId="0" borderId="10" xfId="0" applyFill="1" applyBorder="1" applyAlignment="1">
      <alignment vertical="top" wrapText="1"/>
    </xf>
    <xf numFmtId="0" fontId="1" fillId="0" borderId="10" xfId="0" applyFont="1" applyFill="1" applyBorder="1"/>
    <xf numFmtId="0" fontId="1" fillId="0" borderId="10" xfId="0" quotePrefix="1" applyFont="1" applyFill="1" applyBorder="1" applyAlignment="1">
      <alignment vertical="top" wrapText="1"/>
    </xf>
    <xf numFmtId="166" fontId="1" fillId="0" borderId="10" xfId="3" applyNumberFormat="1" applyFont="1" applyFill="1" applyBorder="1" applyAlignment="1">
      <alignment horizontal="center" vertical="top"/>
    </xf>
    <xf numFmtId="16" fontId="1" fillId="0" borderId="10" xfId="0" applyNumberFormat="1" applyFont="1" applyFill="1" applyBorder="1" applyAlignment="1">
      <alignment horizontal="center" vertical="top" wrapText="1"/>
    </xf>
    <xf numFmtId="4" fontId="1" fillId="2" borderId="10" xfId="0" applyNumberFormat="1" applyFont="1" applyFill="1" applyBorder="1" applyAlignment="1">
      <alignment horizontal="center" vertical="top" wrapText="1"/>
    </xf>
    <xf numFmtId="3" fontId="1" fillId="2" borderId="10" xfId="0" applyNumberFormat="1" applyFont="1" applyFill="1" applyBorder="1" applyAlignment="1">
      <alignment horizontal="center" vertical="top" wrapText="1"/>
    </xf>
    <xf numFmtId="3" fontId="1" fillId="0" borderId="10" xfId="0" applyNumberFormat="1" applyFont="1" applyFill="1" applyBorder="1" applyAlignment="1">
      <alignment horizontal="center" vertical="top" wrapText="1"/>
    </xf>
    <xf numFmtId="0" fontId="6" fillId="2" borderId="10" xfId="0" applyFont="1" applyFill="1" applyBorder="1" applyAlignment="1">
      <alignment horizontal="center" vertical="top" wrapText="1"/>
    </xf>
    <xf numFmtId="2" fontId="1" fillId="0" borderId="10" xfId="0" applyNumberFormat="1" applyFont="1" applyFill="1" applyBorder="1" applyAlignment="1">
      <alignment horizontal="center" vertical="top" wrapText="1"/>
    </xf>
    <xf numFmtId="16" fontId="1" fillId="2" borderId="10" xfId="0" applyNumberFormat="1" applyFont="1" applyFill="1" applyBorder="1" applyAlignment="1">
      <alignment horizontal="center" vertical="top" wrapText="1"/>
    </xf>
    <xf numFmtId="1" fontId="1" fillId="0" borderId="10" xfId="0" applyNumberFormat="1" applyFont="1" applyBorder="1" applyAlignment="1">
      <alignment horizontal="center" vertical="top"/>
    </xf>
    <xf numFmtId="166" fontId="1" fillId="0" borderId="10" xfId="3" applyNumberFormat="1" applyFont="1" applyBorder="1" applyAlignment="1">
      <alignment horizontal="center" vertical="top"/>
    </xf>
    <xf numFmtId="2" fontId="1" fillId="0" borderId="10" xfId="0" applyNumberFormat="1" applyFont="1" applyFill="1" applyBorder="1" applyAlignment="1">
      <alignment horizontal="center" vertical="top"/>
    </xf>
    <xf numFmtId="2" fontId="1" fillId="2" borderId="10" xfId="0" applyNumberFormat="1" applyFont="1" applyFill="1" applyBorder="1" applyAlignment="1">
      <alignment horizontal="center" vertical="top" wrapText="1"/>
    </xf>
    <xf numFmtId="16" fontId="1" fillId="2" borderId="10" xfId="0" quotePrefix="1" applyNumberFormat="1" applyFont="1" applyFill="1" applyBorder="1" applyAlignment="1">
      <alignment horizontal="center" vertical="top" wrapText="1"/>
    </xf>
    <xf numFmtId="0" fontId="1" fillId="0" borderId="14" xfId="0" quotePrefix="1" applyFont="1" applyFill="1" applyBorder="1" applyAlignment="1">
      <alignment vertical="top" wrapText="1"/>
    </xf>
    <xf numFmtId="16" fontId="1" fillId="2" borderId="15" xfId="0" quotePrefix="1" applyNumberFormat="1" applyFont="1" applyFill="1" applyBorder="1" applyAlignment="1">
      <alignment horizontal="center" vertical="top" wrapText="1"/>
    </xf>
    <xf numFmtId="0" fontId="3" fillId="0" borderId="14" xfId="0" applyFont="1" applyFill="1" applyBorder="1" applyAlignment="1">
      <alignment vertical="top" wrapText="1"/>
    </xf>
    <xf numFmtId="164" fontId="1" fillId="0" borderId="10" xfId="0" applyNumberFormat="1" applyFont="1" applyFill="1" applyBorder="1" applyAlignment="1">
      <alignment horizontal="center" vertical="top"/>
    </xf>
    <xf numFmtId="0" fontId="6" fillId="2" borderId="10" xfId="0" applyFont="1" applyFill="1" applyBorder="1" applyAlignment="1">
      <alignment vertical="top"/>
    </xf>
    <xf numFmtId="49" fontId="1" fillId="2" borderId="15" xfId="0" quotePrefix="1" applyNumberFormat="1" applyFont="1" applyFill="1" applyBorder="1" applyAlignment="1">
      <alignment horizontal="center" vertical="top" wrapText="1"/>
    </xf>
    <xf numFmtId="0" fontId="1" fillId="0" borderId="14" xfId="0" applyFont="1" applyFill="1" applyBorder="1" applyAlignment="1">
      <alignment vertical="top" wrapText="1"/>
    </xf>
    <xf numFmtId="0" fontId="1" fillId="2" borderId="10" xfId="0" applyFont="1" applyFill="1" applyBorder="1" applyAlignment="1">
      <alignment horizontal="center" vertical="top"/>
    </xf>
    <xf numFmtId="1" fontId="1" fillId="2" borderId="0" xfId="0" applyNumberFormat="1" applyFont="1" applyFill="1" applyBorder="1" applyAlignment="1">
      <alignment vertical="top"/>
    </xf>
    <xf numFmtId="1" fontId="3" fillId="2" borderId="0" xfId="0" applyNumberFormat="1" applyFont="1" applyFill="1" applyBorder="1" applyAlignment="1">
      <alignment vertical="top"/>
    </xf>
    <xf numFmtId="0" fontId="3" fillId="2" borderId="0" xfId="0" applyFont="1" applyFill="1" applyBorder="1" applyAlignment="1">
      <alignment vertical="top" wrapText="1"/>
    </xf>
    <xf numFmtId="0" fontId="1" fillId="2" borderId="0" xfId="0" applyFont="1" applyFill="1" applyBorder="1" applyAlignment="1">
      <alignment horizontal="right" vertical="top"/>
    </xf>
    <xf numFmtId="0" fontId="0" fillId="0" borderId="10" xfId="0" applyBorder="1" applyAlignment="1">
      <alignment wrapText="1"/>
    </xf>
    <xf numFmtId="0" fontId="0" fillId="0" borderId="10" xfId="0" applyBorder="1" applyAlignment="1">
      <alignment horizontal="center" wrapText="1"/>
    </xf>
    <xf numFmtId="167" fontId="0" fillId="0" borderId="10" xfId="2" applyNumberFormat="1" applyFont="1" applyBorder="1"/>
    <xf numFmtId="2" fontId="0" fillId="0" borderId="10" xfId="0" applyNumberFormat="1" applyBorder="1"/>
    <xf numFmtId="164" fontId="0" fillId="0" borderId="10" xfId="0" applyNumberFormat="1" applyBorder="1"/>
    <xf numFmtId="167" fontId="0" fillId="0" borderId="0" xfId="0" applyNumberFormat="1"/>
    <xf numFmtId="0" fontId="22" fillId="0" borderId="0" xfId="0" applyFont="1" applyBorder="1"/>
    <xf numFmtId="0" fontId="1" fillId="0" borderId="0" xfId="0" applyFont="1" applyAlignment="1">
      <alignment horizontal="right"/>
    </xf>
    <xf numFmtId="0" fontId="22" fillId="0" borderId="0" xfId="0" applyFont="1"/>
    <xf numFmtId="0" fontId="1" fillId="0" borderId="0" xfId="0" applyFont="1" applyAlignment="1">
      <alignment horizontal="right" vertical="top"/>
    </xf>
    <xf numFmtId="0" fontId="18" fillId="0" borderId="0" xfId="0" applyFont="1" applyAlignment="1">
      <alignment horizontal="left" vertical="top" wrapText="1"/>
    </xf>
    <xf numFmtId="0" fontId="22" fillId="0" borderId="0" xfId="0" applyFont="1" applyAlignment="1">
      <alignment horizontal="left" vertical="top" wrapText="1"/>
    </xf>
    <xf numFmtId="0" fontId="0" fillId="3" borderId="0" xfId="0" applyFill="1"/>
    <xf numFmtId="0" fontId="1" fillId="3" borderId="14" xfId="0" applyFont="1" applyFill="1" applyBorder="1" applyAlignment="1">
      <alignment vertical="top" wrapText="1"/>
    </xf>
    <xf numFmtId="164" fontId="1" fillId="3" borderId="10" xfId="0" applyNumberFormat="1" applyFont="1" applyFill="1" applyBorder="1" applyAlignment="1">
      <alignment horizontal="center" vertical="top"/>
    </xf>
    <xf numFmtId="164" fontId="1" fillId="3" borderId="10" xfId="0" applyNumberFormat="1" applyFont="1" applyFill="1" applyBorder="1" applyAlignment="1">
      <alignment horizontal="center" vertical="top" wrapText="1"/>
    </xf>
    <xf numFmtId="0" fontId="3" fillId="3" borderId="14" xfId="0" applyFont="1" applyFill="1" applyBorder="1" applyAlignment="1">
      <alignment vertical="top" wrapText="1"/>
    </xf>
    <xf numFmtId="0" fontId="6" fillId="2" borderId="16" xfId="0" applyFont="1" applyFill="1" applyBorder="1" applyAlignment="1">
      <alignment vertical="top" wrapText="1"/>
    </xf>
    <xf numFmtId="0" fontId="1" fillId="2" borderId="17" xfId="0" applyFont="1" applyFill="1" applyBorder="1" applyAlignment="1">
      <alignment horizontal="center" vertical="top" wrapText="1"/>
    </xf>
    <xf numFmtId="0" fontId="1" fillId="2" borderId="15" xfId="0" applyFont="1" applyFill="1" applyBorder="1" applyAlignment="1">
      <alignment horizontal="center" vertical="top" wrapText="1"/>
    </xf>
    <xf numFmtId="0" fontId="1" fillId="2" borderId="15" xfId="0" quotePrefix="1" applyFont="1" applyFill="1" applyBorder="1" applyAlignment="1">
      <alignment horizontal="center" vertical="top" wrapText="1"/>
    </xf>
    <xf numFmtId="164" fontId="1" fillId="2" borderId="15" xfId="0" applyNumberFormat="1" applyFont="1" applyFill="1" applyBorder="1" applyAlignment="1">
      <alignment horizontal="center" vertical="top" wrapText="1"/>
    </xf>
    <xf numFmtId="0" fontId="1" fillId="2" borderId="18" xfId="0" applyFont="1" applyFill="1" applyBorder="1" applyAlignment="1">
      <alignment vertical="top" wrapText="1"/>
    </xf>
    <xf numFmtId="1" fontId="1" fillId="2" borderId="0" xfId="3" applyNumberFormat="1" applyFont="1" applyFill="1" applyBorder="1" applyAlignment="1">
      <alignment vertical="top"/>
    </xf>
    <xf numFmtId="0" fontId="8" fillId="2" borderId="10" xfId="0" applyFont="1" applyFill="1" applyBorder="1" applyAlignment="1">
      <alignment vertical="top" wrapText="1"/>
    </xf>
    <xf numFmtId="164" fontId="0" fillId="0" borderId="0" xfId="0" applyNumberFormat="1" applyBorder="1"/>
    <xf numFmtId="2" fontId="0" fillId="0" borderId="0" xfId="0" applyNumberFormat="1" applyBorder="1"/>
    <xf numFmtId="0" fontId="24" fillId="2" borderId="10" xfId="0" quotePrefix="1" applyFont="1" applyFill="1" applyBorder="1" applyAlignment="1">
      <alignment vertical="top" wrapText="1"/>
    </xf>
    <xf numFmtId="9" fontId="1" fillId="0" borderId="10" xfId="2" applyNumberFormat="1" applyFont="1" applyFill="1" applyBorder="1" applyAlignment="1">
      <alignment vertical="top" wrapText="1"/>
    </xf>
    <xf numFmtId="9" fontId="1" fillId="0" borderId="10" xfId="2" applyFont="1" applyFill="1" applyBorder="1" applyAlignment="1">
      <alignment horizontal="center" vertical="top" wrapText="1"/>
    </xf>
    <xf numFmtId="166" fontId="1" fillId="0" borderId="10" xfId="3" applyNumberFormat="1" applyFont="1" applyFill="1" applyBorder="1" applyAlignment="1">
      <alignment vertical="top" wrapText="1"/>
    </xf>
    <xf numFmtId="10" fontId="1" fillId="0" borderId="10" xfId="2" applyNumberFormat="1" applyFont="1" applyFill="1" applyBorder="1" applyAlignment="1">
      <alignment vertical="top" wrapText="1"/>
    </xf>
    <xf numFmtId="10" fontId="1" fillId="0" borderId="10" xfId="0" applyNumberFormat="1" applyFont="1" applyFill="1" applyBorder="1" applyAlignment="1">
      <alignment horizontal="center" vertical="top" wrapText="1"/>
    </xf>
    <xf numFmtId="43" fontId="1" fillId="0" borderId="10" xfId="3" applyFont="1" applyFill="1" applyBorder="1" applyAlignment="1">
      <alignment vertical="top" wrapText="1"/>
    </xf>
    <xf numFmtId="10" fontId="0" fillId="0" borderId="0" xfId="2" applyNumberFormat="1" applyFont="1" applyBorder="1"/>
    <xf numFmtId="0" fontId="25" fillId="0" borderId="10" xfId="0" applyFont="1" applyBorder="1"/>
    <xf numFmtId="0" fontId="24" fillId="0" borderId="10" xfId="0" quotePrefix="1" applyFont="1" applyFill="1" applyBorder="1" applyAlignment="1">
      <alignment vertical="top" wrapText="1"/>
    </xf>
    <xf numFmtId="0" fontId="8" fillId="0" borderId="10" xfId="0" quotePrefix="1" applyFont="1" applyFill="1" applyBorder="1" applyAlignment="1">
      <alignment vertical="top" wrapText="1"/>
    </xf>
    <xf numFmtId="167" fontId="1" fillId="0" borderId="10" xfId="2" applyNumberFormat="1" applyFont="1" applyFill="1" applyBorder="1" applyAlignment="1">
      <alignment vertical="top" wrapText="1"/>
    </xf>
    <xf numFmtId="167" fontId="0" fillId="0" borderId="0" xfId="2" applyNumberFormat="1" applyFont="1" applyBorder="1"/>
    <xf numFmtId="0" fontId="6" fillId="0" borderId="10" xfId="0" applyFont="1" applyFill="1" applyBorder="1" applyAlignment="1">
      <alignment vertical="top" wrapText="1"/>
    </xf>
    <xf numFmtId="166" fontId="1" fillId="0" borderId="10" xfId="3" applyNumberFormat="1" applyFont="1" applyFill="1" applyBorder="1" applyAlignment="1">
      <alignment horizontal="center" vertical="top" wrapText="1"/>
    </xf>
    <xf numFmtId="166" fontId="0" fillId="0" borderId="0" xfId="0" applyNumberFormat="1" applyBorder="1"/>
    <xf numFmtId="1" fontId="1" fillId="2" borderId="10" xfId="0" applyNumberFormat="1" applyFont="1" applyFill="1" applyBorder="1" applyAlignment="1">
      <alignment horizontal="center" vertical="top" wrapText="1"/>
    </xf>
    <xf numFmtId="49" fontId="1" fillId="2" borderId="10" xfId="0" quotePrefix="1" applyNumberFormat="1" applyFont="1" applyFill="1" applyBorder="1" applyAlignment="1">
      <alignment horizontal="center" vertical="top" wrapText="1"/>
    </xf>
    <xf numFmtId="0" fontId="3" fillId="0" borderId="10" xfId="0" applyFont="1" applyFill="1" applyBorder="1" applyAlignment="1">
      <alignment vertical="top" wrapText="1"/>
    </xf>
    <xf numFmtId="43" fontId="0" fillId="0" borderId="0" xfId="3" applyFont="1" applyBorder="1"/>
    <xf numFmtId="0" fontId="0" fillId="0" borderId="0" xfId="0" applyFill="1"/>
    <xf numFmtId="43" fontId="0" fillId="0" borderId="0" xfId="0" applyNumberFormat="1" applyBorder="1"/>
    <xf numFmtId="2" fontId="1" fillId="2" borderId="0" xfId="0" applyNumberFormat="1" applyFont="1" applyFill="1" applyBorder="1" applyAlignment="1">
      <alignment horizontal="center" vertical="top"/>
    </xf>
    <xf numFmtId="0" fontId="1" fillId="2" borderId="0" xfId="0" applyFont="1" applyFill="1" applyBorder="1"/>
    <xf numFmtId="166" fontId="1" fillId="2" borderId="0" xfId="0" applyNumberFormat="1" applyFont="1" applyFill="1" applyBorder="1" applyAlignment="1">
      <alignment vertical="top" wrapText="1"/>
    </xf>
    <xf numFmtId="9" fontId="1" fillId="0" borderId="10" xfId="2" applyNumberFormat="1" applyFont="1" applyFill="1" applyBorder="1" applyAlignment="1">
      <alignment horizontal="right" vertical="top" wrapText="1"/>
    </xf>
    <xf numFmtId="0" fontId="1" fillId="0" borderId="10" xfId="0" applyFont="1" applyFill="1" applyBorder="1" applyAlignment="1">
      <alignment horizontal="left" vertical="top" wrapText="1" indent="1"/>
    </xf>
    <xf numFmtId="0" fontId="18" fillId="0" borderId="10" xfId="0" applyFont="1" applyBorder="1"/>
    <xf numFmtId="0" fontId="18" fillId="0" borderId="10" xfId="0" applyFont="1" applyBorder="1" applyAlignment="1">
      <alignment horizontal="left" indent="1"/>
    </xf>
    <xf numFmtId="1" fontId="6" fillId="0" borderId="10" xfId="0" applyNumberFormat="1" applyFont="1" applyFill="1" applyBorder="1" applyAlignment="1">
      <alignment vertical="top" wrapText="1"/>
    </xf>
    <xf numFmtId="0" fontId="1" fillId="2" borderId="10" xfId="0" quotePrefix="1" applyFont="1" applyFill="1" applyBorder="1" applyAlignment="1">
      <alignment horizontal="center" vertical="top" wrapText="1"/>
    </xf>
    <xf numFmtId="164" fontId="1" fillId="0" borderId="10" xfId="0" applyNumberFormat="1" applyFont="1" applyBorder="1" applyAlignment="1">
      <alignment horizontal="center" vertical="top"/>
    </xf>
    <xf numFmtId="164" fontId="1" fillId="2" borderId="10" xfId="0" applyNumberFormat="1" applyFont="1" applyFill="1" applyBorder="1" applyAlignment="1">
      <alignment horizontal="center" vertical="top"/>
    </xf>
    <xf numFmtId="164" fontId="1" fillId="0" borderId="0" xfId="0" applyNumberFormat="1" applyFont="1" applyBorder="1" applyAlignment="1">
      <alignment horizontal="center" vertical="top"/>
    </xf>
    <xf numFmtId="0" fontId="0" fillId="0" borderId="0" xfId="0" applyBorder="1" applyAlignment="1">
      <alignment horizontal="center"/>
    </xf>
    <xf numFmtId="1" fontId="1" fillId="2" borderId="0" xfId="0" quotePrefix="1" applyNumberFormat="1" applyFont="1" applyFill="1" applyBorder="1" applyAlignment="1">
      <alignment horizontal="center" vertical="top" wrapText="1"/>
    </xf>
    <xf numFmtId="0" fontId="18" fillId="0" borderId="0" xfId="0" applyFont="1" applyAlignment="1">
      <alignment horizontal="left" vertical="top"/>
    </xf>
    <xf numFmtId="0" fontId="0" fillId="2" borderId="0" xfId="0" applyFill="1"/>
    <xf numFmtId="0" fontId="6" fillId="2" borderId="19" xfId="0" applyFont="1" applyFill="1" applyBorder="1" applyAlignment="1">
      <alignment vertical="top" wrapText="1"/>
    </xf>
    <xf numFmtId="0" fontId="6" fillId="2" borderId="9" xfId="0" applyFont="1" applyFill="1" applyBorder="1" applyAlignment="1">
      <alignment vertical="top" wrapText="1"/>
    </xf>
    <xf numFmtId="0" fontId="6" fillId="2" borderId="20" xfId="0" applyFont="1" applyFill="1" applyBorder="1" applyAlignment="1">
      <alignment vertical="top" wrapText="1"/>
    </xf>
    <xf numFmtId="3" fontId="1" fillId="2" borderId="10" xfId="0" applyNumberFormat="1" applyFont="1" applyFill="1" applyBorder="1" applyAlignment="1">
      <alignment horizontal="center"/>
    </xf>
    <xf numFmtId="0" fontId="23" fillId="2" borderId="10" xfId="0" applyFont="1" applyFill="1" applyBorder="1"/>
    <xf numFmtId="0" fontId="0" fillId="2" borderId="10" xfId="0" applyFill="1" applyBorder="1"/>
    <xf numFmtId="9" fontId="1" fillId="2" borderId="10" xfId="2" applyFont="1" applyFill="1" applyBorder="1" applyAlignment="1">
      <alignment horizontal="center" vertical="top" wrapText="1"/>
    </xf>
    <xf numFmtId="164" fontId="1" fillId="2" borderId="10" xfId="0" applyNumberFormat="1" applyFont="1" applyFill="1" applyBorder="1" applyAlignment="1">
      <alignment horizontal="center" vertical="top" wrapText="1"/>
    </xf>
    <xf numFmtId="167" fontId="1" fillId="2" borderId="10" xfId="2" applyNumberFormat="1" applyFont="1" applyFill="1" applyBorder="1" applyAlignment="1">
      <alignment horizontal="center" vertical="top" wrapText="1"/>
    </xf>
    <xf numFmtId="167" fontId="1" fillId="2" borderId="10" xfId="0" applyNumberFormat="1" applyFont="1" applyFill="1" applyBorder="1" applyAlignment="1">
      <alignment horizontal="center" vertical="top" wrapText="1"/>
    </xf>
    <xf numFmtId="0" fontId="0" fillId="2" borderId="10" xfId="0" applyFill="1" applyBorder="1" applyAlignment="1">
      <alignment horizontal="center"/>
    </xf>
    <xf numFmtId="9" fontId="1" fillId="2" borderId="10" xfId="2" applyFont="1" applyFill="1" applyBorder="1" applyAlignment="1">
      <alignment vertical="top" wrapText="1"/>
    </xf>
    <xf numFmtId="9" fontId="1" fillId="2" borderId="10" xfId="0" applyNumberFormat="1" applyFont="1" applyFill="1" applyBorder="1" applyAlignment="1">
      <alignment horizontal="center" vertical="top" wrapText="1"/>
    </xf>
    <xf numFmtId="165" fontId="1" fillId="2" borderId="10" xfId="3" applyNumberFormat="1" applyFont="1" applyFill="1" applyBorder="1" applyAlignment="1">
      <alignment vertical="top" wrapText="1"/>
    </xf>
    <xf numFmtId="0" fontId="1" fillId="2" borderId="10" xfId="0" applyFont="1" applyFill="1" applyBorder="1" applyAlignment="1">
      <alignment horizontal="center"/>
    </xf>
    <xf numFmtId="0" fontId="1" fillId="2" borderId="10" xfId="0" quotePrefix="1" applyFont="1" applyFill="1" applyBorder="1" applyAlignment="1">
      <alignment vertical="top" wrapText="1"/>
    </xf>
    <xf numFmtId="167" fontId="1" fillId="2" borderId="10" xfId="2" applyNumberFormat="1" applyFont="1" applyFill="1" applyBorder="1" applyAlignment="1">
      <alignment vertical="top" wrapText="1"/>
    </xf>
    <xf numFmtId="9" fontId="1" fillId="2" borderId="10" xfId="3" applyNumberFormat="1" applyFont="1" applyFill="1" applyBorder="1" applyAlignment="1">
      <alignment vertical="top" wrapText="1"/>
    </xf>
    <xf numFmtId="167" fontId="1" fillId="2" borderId="10" xfId="3" applyNumberFormat="1" applyFont="1" applyFill="1" applyBorder="1" applyAlignment="1">
      <alignment vertical="top" wrapText="1"/>
    </xf>
    <xf numFmtId="0" fontId="0" fillId="2" borderId="10" xfId="0" applyFill="1" applyBorder="1" applyAlignment="1">
      <alignment vertical="top" wrapText="1"/>
    </xf>
    <xf numFmtId="166" fontId="1" fillId="2" borderId="10" xfId="3" applyNumberFormat="1" applyFont="1" applyFill="1" applyBorder="1" applyAlignment="1">
      <alignment horizontal="center" vertical="top"/>
    </xf>
    <xf numFmtId="166" fontId="1" fillId="2" borderId="10" xfId="0" applyNumberFormat="1" applyFont="1" applyFill="1" applyBorder="1" applyAlignment="1">
      <alignment horizontal="center" vertical="top" wrapText="1"/>
    </xf>
    <xf numFmtId="1" fontId="1" fillId="2" borderId="10" xfId="0" applyNumberFormat="1" applyFont="1" applyFill="1" applyBorder="1" applyAlignment="1">
      <alignment horizontal="center" vertical="top"/>
    </xf>
    <xf numFmtId="166" fontId="1" fillId="2" borderId="10" xfId="3" applyNumberFormat="1" applyFont="1" applyFill="1" applyBorder="1" applyAlignment="1">
      <alignment horizontal="center" vertical="top" wrapText="1"/>
    </xf>
    <xf numFmtId="43" fontId="1" fillId="2" borderId="10" xfId="3" applyNumberFormat="1" applyFont="1" applyFill="1" applyBorder="1" applyAlignment="1">
      <alignment horizontal="center" vertical="top" wrapText="1"/>
    </xf>
    <xf numFmtId="2" fontId="1" fillId="2" borderId="10" xfId="0" applyNumberFormat="1" applyFont="1" applyFill="1" applyBorder="1" applyAlignment="1">
      <alignment horizontal="center" vertical="top"/>
    </xf>
    <xf numFmtId="0" fontId="3" fillId="2" borderId="10" xfId="0" applyFont="1" applyFill="1" applyBorder="1" applyAlignment="1">
      <alignment vertical="top" wrapText="1"/>
    </xf>
    <xf numFmtId="1" fontId="1" fillId="2" borderId="10" xfId="0" quotePrefix="1" applyNumberFormat="1" applyFont="1" applyFill="1" applyBorder="1" applyAlignment="1">
      <alignment horizontal="center" vertical="top" wrapText="1"/>
    </xf>
    <xf numFmtId="0" fontId="1" fillId="2" borderId="0" xfId="0" quotePrefix="1" applyFont="1" applyFill="1" applyBorder="1" applyAlignment="1">
      <alignment horizontal="center" vertical="top" wrapText="1"/>
    </xf>
    <xf numFmtId="164" fontId="1" fillId="2" borderId="0" xfId="0" applyNumberFormat="1" applyFont="1" applyFill="1" applyBorder="1" applyAlignment="1">
      <alignment horizontal="center" vertical="top" wrapText="1"/>
    </xf>
    <xf numFmtId="0" fontId="1" fillId="2" borderId="7" xfId="0" applyFont="1" applyFill="1" applyBorder="1" applyAlignment="1">
      <alignment vertical="top" wrapText="1"/>
    </xf>
    <xf numFmtId="0" fontId="1" fillId="2" borderId="0" xfId="0" applyFont="1" applyFill="1" applyAlignment="1">
      <alignment horizontal="left" vertical="top"/>
    </xf>
    <xf numFmtId="0" fontId="18" fillId="2" borderId="0" xfId="0" applyFont="1" applyFill="1"/>
    <xf numFmtId="0" fontId="27" fillId="2" borderId="0" xfId="0" applyFont="1" applyFill="1"/>
    <xf numFmtId="0" fontId="0" fillId="2" borderId="0" xfId="0" applyFill="1" applyAlignment="1"/>
    <xf numFmtId="0" fontId="28" fillId="2" borderId="19" xfId="0" applyFont="1" applyFill="1" applyBorder="1" applyAlignment="1">
      <alignment vertical="center" wrapText="1"/>
    </xf>
    <xf numFmtId="0" fontId="13" fillId="2" borderId="11" xfId="0" applyFont="1" applyFill="1" applyBorder="1" applyAlignment="1">
      <alignment vertical="center" wrapText="1"/>
    </xf>
    <xf numFmtId="0" fontId="29" fillId="2" borderId="10" xfId="0" applyFont="1" applyFill="1" applyBorder="1" applyAlignment="1">
      <alignment horizontal="center" vertical="center" wrapText="1"/>
    </xf>
    <xf numFmtId="0" fontId="29" fillId="2" borderId="13" xfId="0" applyFont="1" applyFill="1" applyBorder="1" applyAlignment="1">
      <alignment horizontal="center" vertical="center" wrapText="1"/>
    </xf>
    <xf numFmtId="0" fontId="29" fillId="2" borderId="0" xfId="0" applyFont="1" applyFill="1" applyBorder="1" applyAlignment="1">
      <alignment horizontal="center" vertical="center" wrapText="1"/>
    </xf>
    <xf numFmtId="0" fontId="29" fillId="2" borderId="17" xfId="0" applyFont="1" applyFill="1" applyBorder="1" applyAlignment="1">
      <alignment horizontal="center" vertical="center" wrapText="1"/>
    </xf>
    <xf numFmtId="0" fontId="29" fillId="2" borderId="11" xfId="0" applyFont="1" applyFill="1" applyBorder="1" applyAlignment="1">
      <alignment vertical="center" wrapText="1"/>
    </xf>
    <xf numFmtId="0" fontId="29" fillId="2" borderId="13" xfId="0" applyFont="1" applyFill="1" applyBorder="1" applyAlignment="1">
      <alignment vertical="center" wrapText="1"/>
    </xf>
    <xf numFmtId="0" fontId="29" fillId="2" borderId="12" xfId="0" applyFont="1" applyFill="1" applyBorder="1" applyAlignment="1">
      <alignment vertical="center" wrapText="1"/>
    </xf>
    <xf numFmtId="0" fontId="30" fillId="2" borderId="11" xfId="0" applyFont="1" applyFill="1" applyBorder="1" applyAlignment="1">
      <alignment vertical="center" wrapText="1"/>
    </xf>
    <xf numFmtId="0" fontId="13" fillId="0" borderId="21" xfId="0" applyFont="1" applyFill="1" applyBorder="1" applyAlignment="1">
      <alignment vertical="center" wrapText="1"/>
    </xf>
    <xf numFmtId="0" fontId="13" fillId="0" borderId="14" xfId="0" applyFont="1" applyFill="1" applyBorder="1" applyAlignment="1">
      <alignment horizontal="center" vertical="center" wrapText="1"/>
    </xf>
    <xf numFmtId="0" fontId="13" fillId="2" borderId="14" xfId="0" applyFont="1" applyFill="1" applyBorder="1" applyAlignment="1">
      <alignment horizontal="center" vertical="center" wrapText="1"/>
    </xf>
    <xf numFmtId="0" fontId="13" fillId="2" borderId="10" xfId="0" applyFont="1" applyFill="1" applyBorder="1" applyAlignment="1">
      <alignment horizontal="center" vertical="center" wrapText="1"/>
    </xf>
    <xf numFmtId="0" fontId="13" fillId="2" borderId="21" xfId="0" applyFont="1" applyFill="1" applyBorder="1" applyAlignment="1">
      <alignment vertical="center" wrapText="1"/>
    </xf>
    <xf numFmtId="1" fontId="13" fillId="2" borderId="14" xfId="0" applyNumberFormat="1" applyFont="1" applyFill="1" applyBorder="1" applyAlignment="1">
      <alignment horizontal="center" vertical="center" wrapText="1"/>
    </xf>
    <xf numFmtId="0" fontId="13" fillId="2" borderId="8" xfId="0" applyFont="1" applyFill="1" applyBorder="1" applyAlignment="1">
      <alignment vertical="center" wrapText="1"/>
    </xf>
    <xf numFmtId="1" fontId="13" fillId="2" borderId="10" xfId="0" applyNumberFormat="1" applyFont="1" applyFill="1" applyBorder="1" applyAlignment="1">
      <alignment horizontal="center" vertical="center" wrapText="1"/>
    </xf>
    <xf numFmtId="0" fontId="16" fillId="2" borderId="8" xfId="0" applyFont="1" applyFill="1" applyBorder="1" applyAlignment="1">
      <alignment vertical="center" wrapText="1"/>
    </xf>
    <xf numFmtId="0" fontId="30" fillId="2" borderId="10" xfId="0" applyFont="1" applyFill="1" applyBorder="1" applyAlignment="1">
      <alignment vertical="center" wrapText="1"/>
    </xf>
    <xf numFmtId="3" fontId="13" fillId="2" borderId="14" xfId="0" applyNumberFormat="1" applyFont="1" applyFill="1" applyBorder="1" applyAlignment="1">
      <alignment horizontal="center" vertical="center" wrapText="1"/>
    </xf>
    <xf numFmtId="4" fontId="16" fillId="2" borderId="14" xfId="0" applyNumberFormat="1" applyFont="1" applyFill="1" applyBorder="1" applyAlignment="1">
      <alignment horizontal="center" vertical="center" wrapText="1"/>
    </xf>
    <xf numFmtId="4" fontId="16" fillId="2" borderId="21" xfId="0" applyNumberFormat="1" applyFont="1" applyFill="1" applyBorder="1" applyAlignment="1">
      <alignment horizontal="center" vertical="center" wrapText="1"/>
    </xf>
    <xf numFmtId="4" fontId="13" fillId="2" borderId="14" xfId="0" applyNumberFormat="1" applyFont="1" applyFill="1" applyBorder="1" applyAlignment="1">
      <alignment horizontal="center" vertical="center" wrapText="1"/>
    </xf>
    <xf numFmtId="164" fontId="13" fillId="2" borderId="14" xfId="0" applyNumberFormat="1" applyFont="1" applyFill="1" applyBorder="1" applyAlignment="1">
      <alignment horizontal="center" vertical="center" wrapText="1"/>
    </xf>
    <xf numFmtId="3" fontId="13" fillId="2" borderId="10" xfId="0" applyNumberFormat="1" applyFont="1" applyFill="1" applyBorder="1" applyAlignment="1">
      <alignment horizontal="center" vertical="center" wrapText="1"/>
    </xf>
    <xf numFmtId="3" fontId="13" fillId="2" borderId="8" xfId="0" applyNumberFormat="1" applyFont="1" applyFill="1" applyBorder="1" applyAlignment="1">
      <alignment horizontal="center" vertical="center" wrapText="1"/>
    </xf>
    <xf numFmtId="0" fontId="13" fillId="2" borderId="10" xfId="0" applyFont="1" applyFill="1" applyBorder="1" applyAlignment="1">
      <alignment vertical="center" wrapText="1"/>
    </xf>
    <xf numFmtId="3" fontId="16" fillId="2" borderId="14" xfId="0" applyNumberFormat="1" applyFont="1" applyFill="1" applyBorder="1" applyAlignment="1">
      <alignment horizontal="center" vertical="center" wrapText="1"/>
    </xf>
    <xf numFmtId="0" fontId="13" fillId="0" borderId="8" xfId="0" applyFont="1" applyFill="1" applyBorder="1" applyAlignment="1">
      <alignment vertical="center" wrapText="1"/>
    </xf>
    <xf numFmtId="9" fontId="13" fillId="2" borderId="10" xfId="2" applyFont="1" applyFill="1" applyBorder="1" applyAlignment="1">
      <alignment horizontal="center" vertical="center" wrapText="1"/>
    </xf>
    <xf numFmtId="0" fontId="13" fillId="2" borderId="8" xfId="0" applyFont="1" applyFill="1" applyBorder="1" applyAlignment="1">
      <alignment horizontal="center" vertical="center" wrapText="1"/>
    </xf>
    <xf numFmtId="0" fontId="6" fillId="2" borderId="0" xfId="0" applyFont="1" applyFill="1"/>
    <xf numFmtId="0" fontId="18" fillId="2" borderId="0" xfId="0" applyFont="1" applyFill="1" applyAlignment="1">
      <alignment horizontal="right"/>
    </xf>
    <xf numFmtId="0" fontId="18" fillId="2" borderId="0" xfId="0" applyFont="1" applyFill="1" applyAlignment="1">
      <alignment horizontal="left" vertical="center"/>
    </xf>
    <xf numFmtId="0" fontId="18" fillId="0" borderId="0" xfId="0" applyFont="1" applyFill="1"/>
    <xf numFmtId="0" fontId="32" fillId="2" borderId="0" xfId="0" applyFont="1" applyFill="1" applyAlignment="1">
      <alignment vertical="center"/>
    </xf>
    <xf numFmtId="0" fontId="31" fillId="2" borderId="0" xfId="0" applyFont="1" applyFill="1"/>
    <xf numFmtId="0" fontId="31" fillId="2" borderId="0" xfId="0" applyFont="1" applyFill="1" applyAlignment="1">
      <alignment horizontal="left"/>
    </xf>
    <xf numFmtId="0" fontId="33" fillId="2" borderId="0" xfId="0" applyFont="1" applyFill="1"/>
    <xf numFmtId="0" fontId="28" fillId="0" borderId="19" xfId="0" applyFont="1" applyFill="1" applyBorder="1" applyAlignment="1">
      <alignment vertical="center" wrapText="1"/>
    </xf>
    <xf numFmtId="0" fontId="13" fillId="0" borderId="11" xfId="0" applyFont="1" applyFill="1" applyBorder="1" applyAlignment="1">
      <alignment vertical="center" wrapText="1"/>
    </xf>
    <xf numFmtId="0" fontId="29" fillId="0" borderId="10" xfId="0" applyFont="1" applyFill="1" applyBorder="1" applyAlignment="1">
      <alignment horizontal="center" vertical="center" wrapText="1"/>
    </xf>
    <xf numFmtId="0" fontId="29" fillId="0" borderId="13" xfId="0" applyFont="1" applyFill="1" applyBorder="1" applyAlignment="1">
      <alignment horizontal="center" vertical="center" wrapText="1"/>
    </xf>
    <xf numFmtId="0" fontId="29" fillId="0" borderId="0" xfId="0" applyFont="1" applyFill="1" applyBorder="1" applyAlignment="1">
      <alignment horizontal="center" vertical="center" wrapText="1"/>
    </xf>
    <xf numFmtId="0" fontId="29" fillId="0" borderId="17" xfId="0" applyFont="1" applyFill="1" applyBorder="1" applyAlignment="1">
      <alignment horizontal="center" vertical="center" wrapText="1"/>
    </xf>
    <xf numFmtId="0" fontId="29" fillId="0" borderId="11" xfId="0" applyFont="1" applyFill="1" applyBorder="1" applyAlignment="1">
      <alignment vertical="center" wrapText="1"/>
    </xf>
    <xf numFmtId="0" fontId="29" fillId="0" borderId="13" xfId="0" applyFont="1" applyFill="1" applyBorder="1" applyAlignment="1">
      <alignment vertical="center" wrapText="1"/>
    </xf>
    <xf numFmtId="0" fontId="29" fillId="0" borderId="12" xfId="0" applyFont="1" applyFill="1" applyBorder="1" applyAlignment="1">
      <alignment vertical="center" wrapText="1"/>
    </xf>
    <xf numFmtId="0" fontId="30" fillId="0" borderId="11" xfId="0" applyFont="1" applyFill="1" applyBorder="1" applyAlignment="1">
      <alignment vertical="center" wrapText="1"/>
    </xf>
    <xf numFmtId="0" fontId="13" fillId="0" borderId="10" xfId="0" applyFont="1" applyFill="1" applyBorder="1" applyAlignment="1">
      <alignment horizontal="center" vertical="center" wrapText="1"/>
    </xf>
    <xf numFmtId="0" fontId="34" fillId="2" borderId="10" xfId="0" applyFont="1" applyFill="1" applyBorder="1" applyAlignment="1">
      <alignment horizontal="center" vertical="center" wrapText="1"/>
    </xf>
    <xf numFmtId="0" fontId="16" fillId="2" borderId="10" xfId="0" applyFont="1" applyFill="1" applyBorder="1" applyAlignment="1">
      <alignment horizontal="center" vertical="center" wrapText="1"/>
    </xf>
    <xf numFmtId="0" fontId="16" fillId="2" borderId="21" xfId="0" applyFont="1" applyFill="1" applyBorder="1" applyAlignment="1">
      <alignment vertical="center" wrapText="1"/>
    </xf>
    <xf numFmtId="169" fontId="16" fillId="2" borderId="14" xfId="0" applyNumberFormat="1" applyFont="1" applyFill="1" applyBorder="1" applyAlignment="1">
      <alignment horizontal="center" vertical="center" wrapText="1"/>
    </xf>
    <xf numFmtId="169" fontId="16" fillId="2" borderId="21" xfId="0" applyNumberFormat="1" applyFont="1" applyFill="1" applyBorder="1" applyAlignment="1">
      <alignment horizontal="center" vertical="center" wrapText="1"/>
    </xf>
    <xf numFmtId="0" fontId="16" fillId="2" borderId="14" xfId="0" applyFont="1" applyFill="1" applyBorder="1" applyAlignment="1">
      <alignment horizontal="center" vertical="center" wrapText="1"/>
    </xf>
    <xf numFmtId="0" fontId="16" fillId="0" borderId="8" xfId="0" applyFont="1" applyFill="1" applyBorder="1" applyAlignment="1">
      <alignment vertical="center" wrapText="1"/>
    </xf>
    <xf numFmtId="3" fontId="16" fillId="0" borderId="10" xfId="0" applyNumberFormat="1" applyFont="1" applyFill="1" applyBorder="1" applyAlignment="1">
      <alignment horizontal="center" vertical="center" wrapText="1"/>
    </xf>
    <xf numFmtId="0" fontId="16" fillId="0" borderId="10" xfId="0" applyFont="1" applyFill="1" applyBorder="1" applyAlignment="1">
      <alignment horizontal="center" vertical="center" wrapText="1"/>
    </xf>
    <xf numFmtId="0" fontId="16" fillId="0" borderId="10" xfId="0" applyFont="1" applyFill="1" applyBorder="1" applyAlignment="1">
      <alignment vertical="center" wrapText="1"/>
    </xf>
    <xf numFmtId="0" fontId="16" fillId="0" borderId="14" xfId="0" applyFont="1" applyFill="1" applyBorder="1" applyAlignment="1">
      <alignment horizontal="center" vertical="center" wrapText="1"/>
    </xf>
    <xf numFmtId="0" fontId="16" fillId="0" borderId="21" xfId="0" applyFont="1" applyFill="1" applyBorder="1" applyAlignment="1">
      <alignment vertical="center" wrapText="1"/>
    </xf>
    <xf numFmtId="3" fontId="16" fillId="0" borderId="14" xfId="0" applyNumberFormat="1" applyFont="1" applyFill="1" applyBorder="1" applyAlignment="1">
      <alignment horizontal="center" vertical="center" wrapText="1"/>
    </xf>
    <xf numFmtId="3" fontId="16" fillId="0" borderId="8" xfId="0" applyNumberFormat="1" applyFont="1" applyFill="1" applyBorder="1" applyAlignment="1">
      <alignment horizontal="center" vertical="center" wrapText="1"/>
    </xf>
    <xf numFmtId="0" fontId="16" fillId="0" borderId="8" xfId="0" applyFont="1" applyFill="1" applyBorder="1" applyAlignment="1">
      <alignment horizontal="center" vertical="center" wrapText="1"/>
    </xf>
    <xf numFmtId="0" fontId="35" fillId="2" borderId="0" xfId="0" applyFont="1" applyFill="1" applyAlignment="1">
      <alignment vertical="center"/>
    </xf>
    <xf numFmtId="0" fontId="18" fillId="2" borderId="0" xfId="0" applyFont="1" applyFill="1" applyAlignment="1">
      <alignment horizontal="right" vertical="top"/>
    </xf>
    <xf numFmtId="0" fontId="18" fillId="0" borderId="0" xfId="0" applyFont="1" applyFill="1" applyAlignment="1">
      <alignment vertical="top"/>
    </xf>
    <xf numFmtId="0" fontId="18" fillId="2" borderId="0" xfId="0" applyFont="1" applyFill="1" applyAlignment="1">
      <alignment horizontal="left" vertical="top"/>
    </xf>
    <xf numFmtId="0" fontId="18" fillId="0" borderId="0" xfId="0" applyFont="1" applyAlignment="1">
      <alignment vertical="top"/>
    </xf>
    <xf numFmtId="0" fontId="0" fillId="2" borderId="0" xfId="0" applyFill="1" applyAlignment="1">
      <alignment horizontal="right" vertical="top"/>
    </xf>
    <xf numFmtId="0" fontId="18" fillId="2" borderId="0" xfId="0" applyFont="1" applyFill="1" applyAlignment="1">
      <alignment vertical="top"/>
    </xf>
    <xf numFmtId="0" fontId="28" fillId="4" borderId="19" xfId="0" applyFont="1" applyFill="1" applyBorder="1" applyAlignment="1">
      <alignment vertical="center" wrapText="1"/>
    </xf>
    <xf numFmtId="0" fontId="13" fillId="4" borderId="11" xfId="0" applyFont="1" applyFill="1" applyBorder="1" applyAlignment="1">
      <alignment vertical="center" wrapText="1"/>
    </xf>
    <xf numFmtId="0" fontId="29" fillId="4" borderId="10" xfId="0" applyFont="1" applyFill="1" applyBorder="1" applyAlignment="1">
      <alignment horizontal="center" vertical="center" wrapText="1"/>
    </xf>
    <xf numFmtId="0" fontId="29" fillId="4" borderId="13" xfId="0" applyFont="1" applyFill="1" applyBorder="1" applyAlignment="1">
      <alignment horizontal="center" vertical="center" wrapText="1"/>
    </xf>
    <xf numFmtId="0" fontId="29" fillId="4" borderId="0" xfId="0" applyFont="1" applyFill="1" applyBorder="1" applyAlignment="1">
      <alignment horizontal="center" vertical="center" wrapText="1"/>
    </xf>
    <xf numFmtId="0" fontId="29" fillId="4" borderId="17" xfId="0" applyFont="1" applyFill="1" applyBorder="1" applyAlignment="1">
      <alignment horizontal="center" vertical="center" wrapText="1"/>
    </xf>
    <xf numFmtId="0" fontId="29" fillId="4" borderId="11" xfId="0" applyFont="1" applyFill="1" applyBorder="1" applyAlignment="1">
      <alignment vertical="center" wrapText="1"/>
    </xf>
    <xf numFmtId="0" fontId="29" fillId="4" borderId="13" xfId="0" applyFont="1" applyFill="1" applyBorder="1" applyAlignment="1">
      <alignment vertical="center" wrapText="1"/>
    </xf>
    <xf numFmtId="0" fontId="29" fillId="4" borderId="12" xfId="0" applyFont="1" applyFill="1" applyBorder="1" applyAlignment="1">
      <alignment vertical="center" wrapText="1"/>
    </xf>
    <xf numFmtId="0" fontId="30" fillId="4" borderId="11" xfId="0" applyFont="1" applyFill="1" applyBorder="1" applyAlignment="1">
      <alignment vertical="center" wrapText="1"/>
    </xf>
    <xf numFmtId="0" fontId="13" fillId="4" borderId="21" xfId="0" applyFont="1" applyFill="1" applyBorder="1" applyAlignment="1">
      <alignment vertical="center" wrapText="1"/>
    </xf>
    <xf numFmtId="0" fontId="13" fillId="4" borderId="14" xfId="0" applyFont="1" applyFill="1" applyBorder="1" applyAlignment="1">
      <alignment horizontal="center" vertical="center" wrapText="1"/>
    </xf>
    <xf numFmtId="0" fontId="13" fillId="4" borderId="10" xfId="0" applyFont="1" applyFill="1" applyBorder="1" applyAlignment="1">
      <alignment horizontal="center" vertical="center" wrapText="1"/>
    </xf>
    <xf numFmtId="164" fontId="16" fillId="2" borderId="14" xfId="0" applyNumberFormat="1" applyFont="1" applyFill="1" applyBorder="1" applyAlignment="1">
      <alignment horizontal="center" vertical="center" wrapText="1"/>
    </xf>
    <xf numFmtId="3" fontId="16" fillId="2" borderId="10" xfId="0" applyNumberFormat="1" applyFont="1" applyFill="1" applyBorder="1" applyAlignment="1">
      <alignment horizontal="center" vertical="center" wrapText="1"/>
    </xf>
    <xf numFmtId="0" fontId="16" fillId="2" borderId="10" xfId="0" applyFont="1" applyFill="1" applyBorder="1" applyAlignment="1">
      <alignment vertical="center" wrapText="1"/>
    </xf>
    <xf numFmtId="0" fontId="16" fillId="2" borderId="11" xfId="0" applyFont="1" applyFill="1" applyBorder="1" applyAlignment="1">
      <alignment horizontal="center" vertical="center" wrapText="1"/>
    </xf>
    <xf numFmtId="0" fontId="13" fillId="4" borderId="10" xfId="0" applyFont="1" applyFill="1" applyBorder="1" applyAlignment="1">
      <alignment vertical="center" wrapText="1"/>
    </xf>
    <xf numFmtId="0" fontId="13" fillId="4" borderId="8" xfId="0" applyFont="1" applyFill="1" applyBorder="1" applyAlignment="1">
      <alignment vertical="center" wrapText="1"/>
    </xf>
    <xf numFmtId="0" fontId="2" fillId="2" borderId="0" xfId="0" applyFont="1" applyFill="1" applyAlignment="1">
      <alignment vertical="top"/>
    </xf>
    <xf numFmtId="0" fontId="18" fillId="0" borderId="0" xfId="0" applyFont="1"/>
    <xf numFmtId="0" fontId="1" fillId="2" borderId="0" xfId="6" applyFont="1" applyFill="1" applyAlignment="1">
      <alignment horizontal="left" vertical="center"/>
    </xf>
    <xf numFmtId="0" fontId="18" fillId="2" borderId="0" xfId="0" applyFont="1" applyFill="1" applyAlignment="1">
      <alignment horizontal="left"/>
    </xf>
    <xf numFmtId="0" fontId="0" fillId="2" borderId="0" xfId="0" applyFill="1" applyAlignment="1">
      <alignment horizontal="right"/>
    </xf>
    <xf numFmtId="0" fontId="42" fillId="0" borderId="0" xfId="0" applyFont="1" applyAlignment="1">
      <alignment horizontal="justify" vertical="center"/>
    </xf>
    <xf numFmtId="0" fontId="13" fillId="0" borderId="0" xfId="0" applyFont="1" applyAlignment="1">
      <alignment horizontal="left" vertical="center"/>
    </xf>
    <xf numFmtId="0" fontId="29" fillId="0" borderId="0" xfId="0" applyFont="1" applyAlignment="1">
      <alignment horizontal="left" vertical="center"/>
    </xf>
    <xf numFmtId="0" fontId="4" fillId="0" borderId="0" xfId="1" applyFill="1" applyAlignment="1" applyProtection="1"/>
    <xf numFmtId="0" fontId="57" fillId="0" borderId="0" xfId="0" applyFont="1" applyAlignment="1"/>
    <xf numFmtId="0" fontId="51" fillId="0" borderId="0" xfId="0" applyFont="1" applyAlignment="1"/>
    <xf numFmtId="0" fontId="0" fillId="0" borderId="0" xfId="0" applyAlignment="1"/>
    <xf numFmtId="0" fontId="4" fillId="0" borderId="0" xfId="1" applyAlignment="1" applyProtection="1"/>
    <xf numFmtId="0" fontId="4" fillId="2" borderId="0" xfId="1" applyFill="1" applyAlignment="1" applyProtection="1"/>
    <xf numFmtId="0" fontId="29" fillId="0" borderId="10" xfId="0" applyFont="1" applyBorder="1" applyAlignment="1">
      <alignment horizontal="left" vertical="center"/>
    </xf>
    <xf numFmtId="0" fontId="13" fillId="0" borderId="10" xfId="0" applyFont="1" applyBorder="1"/>
    <xf numFmtId="0" fontId="29" fillId="0" borderId="10" xfId="0" applyFont="1" applyBorder="1" applyAlignment="1">
      <alignment horizontal="center"/>
    </xf>
    <xf numFmtId="0" fontId="29" fillId="0" borderId="11" xfId="0" applyFont="1" applyBorder="1" applyAlignment="1">
      <alignment horizontal="center"/>
    </xf>
    <xf numFmtId="0" fontId="29" fillId="0" borderId="18" xfId="0" applyFont="1" applyBorder="1" applyAlignment="1">
      <alignment wrapText="1"/>
    </xf>
    <xf numFmtId="0" fontId="13" fillId="0" borderId="0" xfId="0" applyFont="1" applyBorder="1"/>
    <xf numFmtId="0" fontId="13" fillId="0" borderId="18" xfId="0" applyFont="1" applyBorder="1"/>
    <xf numFmtId="0" fontId="13" fillId="0" borderId="0" xfId="0" applyFont="1" applyBorder="1" applyAlignment="1">
      <alignment horizontal="center"/>
    </xf>
    <xf numFmtId="0" fontId="13" fillId="0" borderId="17" xfId="0" applyFont="1" applyBorder="1" applyAlignment="1">
      <alignment horizontal="center"/>
    </xf>
    <xf numFmtId="0" fontId="13" fillId="0" borderId="10" xfId="0" applyFont="1" applyBorder="1" applyAlignment="1">
      <alignment wrapText="1"/>
    </xf>
    <xf numFmtId="0" fontId="13" fillId="0" borderId="11" xfId="0" applyFont="1" applyBorder="1"/>
    <xf numFmtId="9" fontId="13" fillId="0" borderId="10" xfId="2" applyFont="1" applyBorder="1"/>
    <xf numFmtId="0" fontId="13" fillId="0" borderId="10" xfId="0" applyFont="1" applyBorder="1" applyAlignment="1">
      <alignment horizontal="center"/>
    </xf>
    <xf numFmtId="0" fontId="13" fillId="0" borderId="8" xfId="0" applyFont="1" applyBorder="1" applyAlignment="1">
      <alignment wrapText="1"/>
    </xf>
    <xf numFmtId="0" fontId="13" fillId="0" borderId="8" xfId="0" applyFont="1" applyBorder="1"/>
    <xf numFmtId="0" fontId="13" fillId="0" borderId="28" xfId="0" applyFont="1" applyBorder="1"/>
    <xf numFmtId="9" fontId="13" fillId="0" borderId="8" xfId="2" applyFont="1" applyBorder="1"/>
    <xf numFmtId="0" fontId="13" fillId="0" borderId="8" xfId="0" applyFont="1" applyBorder="1" applyAlignment="1">
      <alignment horizontal="center"/>
    </xf>
    <xf numFmtId="0" fontId="29" fillId="0" borderId="11" xfId="0" applyFont="1" applyBorder="1" applyAlignment="1">
      <alignment wrapText="1"/>
    </xf>
    <xf numFmtId="0" fontId="13" fillId="0" borderId="13" xfId="0" applyFont="1" applyBorder="1"/>
    <xf numFmtId="0" fontId="13" fillId="0" borderId="13" xfId="0" applyFont="1" applyBorder="1" applyAlignment="1">
      <alignment horizontal="center"/>
    </xf>
    <xf numFmtId="0" fontId="13" fillId="0" borderId="12" xfId="0" applyFont="1" applyBorder="1" applyAlignment="1">
      <alignment horizontal="center"/>
    </xf>
    <xf numFmtId="0" fontId="13" fillId="0" borderId="14" xfId="0" applyFont="1" applyBorder="1" applyAlignment="1">
      <alignment wrapText="1"/>
    </xf>
    <xf numFmtId="0" fontId="13" fillId="0" borderId="14" xfId="0" applyFont="1" applyBorder="1"/>
    <xf numFmtId="0" fontId="13" fillId="0" borderId="7" xfId="0" applyFont="1" applyBorder="1"/>
    <xf numFmtId="9" fontId="13" fillId="0" borderId="14" xfId="0" applyNumberFormat="1" applyFont="1" applyBorder="1"/>
    <xf numFmtId="0" fontId="13" fillId="0" borderId="14" xfId="0" applyFont="1" applyBorder="1" applyAlignment="1">
      <alignment horizontal="center"/>
    </xf>
    <xf numFmtId="9" fontId="13" fillId="0" borderId="10" xfId="0" applyNumberFormat="1" applyFont="1" applyBorder="1"/>
    <xf numFmtId="171" fontId="13" fillId="0" borderId="10" xfId="0" applyNumberFormat="1" applyFont="1" applyBorder="1"/>
    <xf numFmtId="0" fontId="29" fillId="0" borderId="10" xfId="0" applyFont="1" applyBorder="1" applyAlignment="1">
      <alignment wrapText="1"/>
    </xf>
    <xf numFmtId="0" fontId="13" fillId="0" borderId="10" xfId="0" applyFont="1" applyBorder="1" applyAlignment="1"/>
    <xf numFmtId="0" fontId="13" fillId="0" borderId="11" xfId="0" applyFont="1" applyBorder="1" applyAlignment="1"/>
    <xf numFmtId="2" fontId="13" fillId="0" borderId="10" xfId="0" applyNumberFormat="1" applyFont="1" applyBorder="1"/>
    <xf numFmtId="2" fontId="13" fillId="0" borderId="11" xfId="0" applyNumberFormat="1" applyFont="1" applyBorder="1"/>
    <xf numFmtId="0" fontId="13" fillId="0" borderId="10" xfId="0" applyFont="1" applyBorder="1" applyAlignment="1">
      <alignment horizontal="right"/>
    </xf>
    <xf numFmtId="171" fontId="13" fillId="0" borderId="11" xfId="0" applyNumberFormat="1" applyFont="1" applyBorder="1"/>
    <xf numFmtId="0" fontId="39" fillId="0" borderId="10" xfId="0" applyFont="1" applyBorder="1"/>
    <xf numFmtId="0" fontId="39" fillId="0" borderId="10" xfId="0" applyFont="1" applyBorder="1" applyAlignment="1">
      <alignment horizontal="center"/>
    </xf>
    <xf numFmtId="0" fontId="39" fillId="0" borderId="8" xfId="0" applyFont="1" applyBorder="1"/>
    <xf numFmtId="0" fontId="39" fillId="0" borderId="8" xfId="0" applyFont="1" applyBorder="1" applyAlignment="1">
      <alignment horizontal="center"/>
    </xf>
    <xf numFmtId="0" fontId="39" fillId="0" borderId="11" xfId="0" applyFont="1" applyBorder="1" applyAlignment="1">
      <alignment wrapText="1"/>
    </xf>
    <xf numFmtId="0" fontId="40" fillId="0" borderId="13" xfId="0" applyFont="1" applyBorder="1"/>
    <xf numFmtId="0" fontId="40" fillId="0" borderId="13" xfId="0" applyFont="1" applyBorder="1" applyAlignment="1">
      <alignment horizontal="center"/>
    </xf>
    <xf numFmtId="0" fontId="40" fillId="0" borderId="12" xfId="0" applyFont="1" applyBorder="1" applyAlignment="1">
      <alignment horizontal="center"/>
    </xf>
    <xf numFmtId="0" fontId="40" fillId="0" borderId="14" xfId="0" applyFont="1" applyBorder="1" applyAlignment="1">
      <alignment wrapText="1"/>
    </xf>
    <xf numFmtId="0" fontId="40" fillId="0" borderId="14" xfId="0" applyFont="1" applyBorder="1"/>
    <xf numFmtId="9" fontId="40" fillId="0" borderId="14" xfId="2" applyFont="1" applyBorder="1"/>
    <xf numFmtId="0" fontId="40" fillId="0" borderId="14" xfId="0" applyFont="1" applyBorder="1" applyAlignment="1">
      <alignment horizontal="center"/>
    </xf>
    <xf numFmtId="0" fontId="40" fillId="0" borderId="10" xfId="0" applyFont="1" applyBorder="1" applyAlignment="1">
      <alignment wrapText="1"/>
    </xf>
    <xf numFmtId="0" fontId="40" fillId="0" borderId="10" xfId="0" applyFont="1" applyBorder="1"/>
    <xf numFmtId="9" fontId="40" fillId="0" borderId="10" xfId="2" applyFont="1" applyBorder="1"/>
    <xf numFmtId="0" fontId="40" fillId="0" borderId="10" xfId="0" applyFont="1" applyBorder="1" applyAlignment="1">
      <alignment horizontal="center"/>
    </xf>
    <xf numFmtId="9" fontId="40" fillId="0" borderId="10" xfId="0" applyNumberFormat="1" applyFont="1" applyBorder="1"/>
    <xf numFmtId="0" fontId="40" fillId="0" borderId="10" xfId="0" applyFont="1" applyBorder="1" applyAlignment="1"/>
    <xf numFmtId="2" fontId="40" fillId="0" borderId="10" xfId="0" applyNumberFormat="1" applyFont="1" applyBorder="1" applyAlignment="1">
      <alignment horizontal="right"/>
    </xf>
    <xf numFmtId="2" fontId="40" fillId="0" borderId="10" xfId="0" applyNumberFormat="1" applyFont="1" applyBorder="1"/>
    <xf numFmtId="0" fontId="40" fillId="0" borderId="10" xfId="0" applyFont="1" applyBorder="1" applyAlignment="1">
      <alignment horizontal="right"/>
    </xf>
    <xf numFmtId="171" fontId="40" fillId="0" borderId="10" xfId="0" applyNumberFormat="1" applyFont="1" applyBorder="1"/>
    <xf numFmtId="164" fontId="40" fillId="0" borderId="10" xfId="0" applyNumberFormat="1" applyFont="1" applyBorder="1" applyAlignment="1"/>
    <xf numFmtId="2" fontId="40" fillId="0" borderId="10" xfId="0" applyNumberFormat="1" applyFont="1" applyBorder="1" applyAlignment="1"/>
    <xf numFmtId="9" fontId="40" fillId="0" borderId="10" xfId="2" applyFont="1" applyBorder="1" applyAlignment="1"/>
    <xf numFmtId="0" fontId="40" fillId="0" borderId="10" xfId="0" applyFont="1" applyBorder="1" applyAlignment="1">
      <alignment horizontal="center"/>
    </xf>
    <xf numFmtId="0" fontId="40" fillId="0" borderId="8" xfId="0" applyFont="1" applyBorder="1"/>
    <xf numFmtId="0" fontId="40" fillId="0" borderId="8" xfId="0" applyFont="1" applyBorder="1" applyAlignment="1">
      <alignment horizontal="center"/>
    </xf>
    <xf numFmtId="0" fontId="39" fillId="0" borderId="11" xfId="0" applyFont="1" applyBorder="1"/>
    <xf numFmtId="0" fontId="40" fillId="0" borderId="10" xfId="0" applyFont="1" applyFill="1" applyBorder="1"/>
    <xf numFmtId="171" fontId="40" fillId="0" borderId="10" xfId="0" applyNumberFormat="1" applyFont="1" applyFill="1" applyBorder="1"/>
    <xf numFmtId="9" fontId="40" fillId="0" borderId="8" xfId="0" applyNumberFormat="1" applyFont="1" applyBorder="1"/>
    <xf numFmtId="9" fontId="40" fillId="0" borderId="13" xfId="0" applyNumberFormat="1" applyFont="1" applyBorder="1"/>
    <xf numFmtId="9" fontId="40" fillId="0" borderId="14" xfId="0" applyNumberFormat="1" applyFont="1" applyBorder="1"/>
    <xf numFmtId="0" fontId="40" fillId="0" borderId="11" xfId="0" applyFont="1" applyBorder="1"/>
    <xf numFmtId="0" fontId="40" fillId="0" borderId="8" xfId="0" applyFont="1" applyBorder="1" applyAlignment="1"/>
    <xf numFmtId="0" fontId="40" fillId="0" borderId="13" xfId="0" applyFont="1" applyBorder="1" applyAlignment="1">
      <alignment horizontal="right"/>
    </xf>
    <xf numFmtId="0" fontId="40" fillId="0" borderId="7" xfId="0" applyFont="1" applyBorder="1"/>
    <xf numFmtId="164" fontId="40" fillId="0" borderId="14" xfId="0" applyNumberFormat="1" applyFont="1" applyBorder="1"/>
    <xf numFmtId="171" fontId="40" fillId="0" borderId="10" xfId="0" applyNumberFormat="1" applyFont="1" applyBorder="1" applyAlignment="1"/>
    <xf numFmtId="171" fontId="40" fillId="0" borderId="8" xfId="0" applyNumberFormat="1" applyFont="1" applyBorder="1"/>
    <xf numFmtId="9" fontId="40" fillId="0" borderId="8" xfId="2" applyFont="1" applyBorder="1"/>
    <xf numFmtId="0" fontId="40" fillId="0" borderId="21" xfId="0" applyFont="1" applyBorder="1"/>
    <xf numFmtId="1" fontId="40" fillId="0" borderId="21" xfId="0" applyNumberFormat="1" applyFont="1" applyBorder="1"/>
    <xf numFmtId="9" fontId="40" fillId="0" borderId="21" xfId="0" applyNumberFormat="1" applyFont="1" applyBorder="1"/>
    <xf numFmtId="0" fontId="40" fillId="0" borderId="21" xfId="0" applyFont="1" applyBorder="1" applyAlignment="1">
      <alignment horizontal="center"/>
    </xf>
    <xf numFmtId="0" fontId="40" fillId="0" borderId="14" xfId="0" applyFont="1" applyFill="1" applyBorder="1"/>
    <xf numFmtId="2" fontId="40" fillId="0" borderId="14" xfId="0" applyNumberFormat="1" applyFont="1" applyFill="1" applyBorder="1"/>
    <xf numFmtId="9" fontId="40" fillId="0" borderId="14" xfId="0" applyNumberFormat="1" applyFont="1" applyFill="1" applyBorder="1"/>
    <xf numFmtId="0" fontId="40" fillId="0" borderId="14" xfId="0" applyFont="1" applyFill="1" applyBorder="1" applyAlignment="1">
      <alignment horizontal="center"/>
    </xf>
    <xf numFmtId="0" fontId="40" fillId="0" borderId="8" xfId="0" applyFont="1" applyFill="1" applyBorder="1"/>
    <xf numFmtId="9" fontId="40" fillId="0" borderId="8" xfId="0" applyNumberFormat="1" applyFont="1" applyFill="1" applyBorder="1"/>
    <xf numFmtId="0" fontId="40" fillId="0" borderId="8" xfId="0" applyFont="1" applyFill="1" applyBorder="1" applyAlignment="1">
      <alignment horizontal="center"/>
    </xf>
    <xf numFmtId="0" fontId="40" fillId="0" borderId="13" xfId="0" applyFont="1" applyBorder="1" applyAlignment="1"/>
    <xf numFmtId="2" fontId="40" fillId="0" borderId="14" xfId="0" applyNumberFormat="1" applyFont="1" applyBorder="1"/>
    <xf numFmtId="1" fontId="40" fillId="0" borderId="10" xfId="0" applyNumberFormat="1" applyFont="1" applyBorder="1" applyAlignment="1">
      <alignment horizontal="right"/>
    </xf>
    <xf numFmtId="1" fontId="40" fillId="0" borderId="10" xfId="0" applyNumberFormat="1" applyFont="1" applyBorder="1"/>
    <xf numFmtId="164" fontId="40" fillId="0" borderId="10" xfId="0" applyNumberFormat="1" applyFont="1" applyBorder="1"/>
    <xf numFmtId="0" fontId="40" fillId="0" borderId="8" xfId="0" applyFont="1" applyBorder="1" applyAlignment="1">
      <alignment horizontal="right"/>
    </xf>
    <xf numFmtId="0" fontId="40" fillId="0" borderId="14" xfId="0" applyFont="1" applyBorder="1" applyAlignment="1"/>
    <xf numFmtId="0" fontId="40" fillId="0" borderId="12" xfId="0" applyFont="1" applyBorder="1"/>
    <xf numFmtId="0" fontId="40" fillId="0" borderId="29" xfId="0" applyFont="1" applyBorder="1" applyAlignment="1">
      <alignment horizontal="right"/>
    </xf>
    <xf numFmtId="0" fontId="40" fillId="0" borderId="14" xfId="0" applyFont="1" applyBorder="1" applyAlignment="1">
      <alignment horizontal="right"/>
    </xf>
    <xf numFmtId="9" fontId="40" fillId="0" borderId="14" xfId="2" applyFont="1" applyBorder="1" applyAlignment="1">
      <alignment horizontal="right"/>
    </xf>
    <xf numFmtId="9" fontId="40" fillId="0" borderId="8" xfId="2" applyFont="1" applyBorder="1" applyAlignment="1">
      <alignment horizontal="right"/>
    </xf>
    <xf numFmtId="0" fontId="40" fillId="0" borderId="21" xfId="0" applyFont="1" applyBorder="1" applyAlignment="1">
      <alignment horizontal="right"/>
    </xf>
    <xf numFmtId="9" fontId="40" fillId="0" borderId="21" xfId="0" applyNumberFormat="1" applyFont="1" applyBorder="1" applyAlignment="1">
      <alignment horizontal="right"/>
    </xf>
    <xf numFmtId="9" fontId="40" fillId="0" borderId="13" xfId="0" applyNumberFormat="1" applyFont="1" applyBorder="1" applyAlignment="1">
      <alignment horizontal="right"/>
    </xf>
    <xf numFmtId="9" fontId="40" fillId="0" borderId="14" xfId="0" applyNumberFormat="1" applyFont="1" applyBorder="1" applyAlignment="1">
      <alignment horizontal="right"/>
    </xf>
    <xf numFmtId="0" fontId="40" fillId="0" borderId="10" xfId="0" applyFont="1" applyFill="1" applyBorder="1" applyAlignment="1">
      <alignment horizontal="right"/>
    </xf>
    <xf numFmtId="9" fontId="40" fillId="0" borderId="10" xfId="0" applyNumberFormat="1" applyFont="1" applyFill="1" applyBorder="1" applyAlignment="1">
      <alignment horizontal="right"/>
    </xf>
    <xf numFmtId="0" fontId="40" fillId="0" borderId="10" xfId="0" applyFont="1" applyFill="1" applyBorder="1" applyAlignment="1"/>
    <xf numFmtId="0" fontId="40" fillId="0" borderId="10" xfId="0" applyFont="1" applyFill="1" applyBorder="1" applyAlignment="1">
      <alignment horizontal="center"/>
    </xf>
    <xf numFmtId="0" fontId="40" fillId="0" borderId="8" xfId="0" applyFont="1" applyFill="1" applyBorder="1" applyAlignment="1">
      <alignment horizontal="right"/>
    </xf>
    <xf numFmtId="9" fontId="40" fillId="0" borderId="8" xfId="0" applyNumberFormat="1" applyFont="1" applyFill="1" applyBorder="1" applyAlignment="1">
      <alignment horizontal="right"/>
    </xf>
    <xf numFmtId="0" fontId="40" fillId="0" borderId="8" xfId="0" applyFont="1" applyFill="1" applyBorder="1" applyAlignment="1"/>
    <xf numFmtId="0" fontId="40" fillId="0" borderId="11" xfId="0" applyFont="1" applyFill="1" applyBorder="1"/>
    <xf numFmtId="0" fontId="40" fillId="0" borderId="13" xfId="0" applyFont="1" applyFill="1" applyBorder="1" applyAlignment="1">
      <alignment horizontal="right"/>
    </xf>
    <xf numFmtId="9" fontId="40" fillId="0" borderId="13" xfId="0" applyNumberFormat="1" applyFont="1" applyFill="1" applyBorder="1" applyAlignment="1">
      <alignment horizontal="right"/>
    </xf>
    <xf numFmtId="0" fontId="40" fillId="0" borderId="12" xfId="0" applyFont="1" applyFill="1" applyBorder="1" applyAlignment="1">
      <alignment horizontal="center"/>
    </xf>
    <xf numFmtId="9" fontId="40" fillId="0" borderId="10" xfId="0" applyNumberFormat="1" applyFont="1" applyBorder="1" applyAlignment="1">
      <alignment horizontal="right"/>
    </xf>
    <xf numFmtId="16" fontId="40" fillId="0" borderId="8" xfId="0" quotePrefix="1" applyNumberFormat="1" applyFont="1" applyBorder="1" applyAlignment="1">
      <alignment horizontal="right"/>
    </xf>
    <xf numFmtId="2" fontId="40" fillId="0" borderId="14" xfId="0" applyNumberFormat="1" applyFont="1" applyBorder="1" applyAlignment="1">
      <alignment horizontal="right"/>
    </xf>
    <xf numFmtId="9" fontId="40" fillId="0" borderId="10" xfId="2" applyFont="1" applyBorder="1" applyAlignment="1">
      <alignment horizontal="right"/>
    </xf>
    <xf numFmtId="171" fontId="40" fillId="0" borderId="10" xfId="0" applyNumberFormat="1" applyFont="1" applyBorder="1" applyAlignment="1">
      <alignment horizontal="right"/>
    </xf>
    <xf numFmtId="164" fontId="40" fillId="0" borderId="10" xfId="0" applyNumberFormat="1" applyFont="1" applyBorder="1" applyAlignment="1">
      <alignment horizontal="right"/>
    </xf>
    <xf numFmtId="9" fontId="40" fillId="0" borderId="13" xfId="2" applyFont="1" applyBorder="1" applyAlignment="1">
      <alignment horizontal="right"/>
    </xf>
    <xf numFmtId="9" fontId="40" fillId="0" borderId="14" xfId="2" applyFont="1" applyBorder="1" applyAlignment="1">
      <alignment horizontal="center"/>
    </xf>
    <xf numFmtId="9" fontId="40" fillId="0" borderId="8" xfId="2" applyFont="1" applyBorder="1" applyAlignment="1">
      <alignment horizontal="center"/>
    </xf>
    <xf numFmtId="9" fontId="40" fillId="0" borderId="13" xfId="2" applyFont="1" applyBorder="1"/>
    <xf numFmtId="164" fontId="40" fillId="0" borderId="8" xfId="0" applyNumberFormat="1" applyFont="1" applyBorder="1"/>
    <xf numFmtId="2" fontId="40" fillId="0" borderId="8" xfId="0" applyNumberFormat="1" applyFont="1" applyBorder="1"/>
    <xf numFmtId="0" fontId="40" fillId="0" borderId="10" xfId="0" applyFont="1" applyBorder="1" applyAlignment="1">
      <alignment horizontal="right" vertical="center"/>
    </xf>
    <xf numFmtId="2" fontId="40" fillId="0" borderId="10" xfId="0" applyNumberFormat="1" applyFont="1" applyBorder="1" applyAlignment="1">
      <alignment horizontal="right" vertical="center"/>
    </xf>
    <xf numFmtId="171" fontId="40" fillId="0" borderId="10" xfId="0" applyNumberFormat="1" applyFont="1" applyBorder="1" applyAlignment="1">
      <alignment horizontal="right" vertical="center"/>
    </xf>
    <xf numFmtId="9" fontId="40" fillId="0" borderId="10" xfId="2" applyFont="1" applyBorder="1" applyAlignment="1">
      <alignment horizontal="center"/>
    </xf>
    <xf numFmtId="9" fontId="40" fillId="0" borderId="13" xfId="2" applyFont="1" applyBorder="1" applyAlignment="1">
      <alignment horizontal="center"/>
    </xf>
    <xf numFmtId="0" fontId="0" fillId="0" borderId="0" xfId="0" applyAlignment="1">
      <alignment horizontal="right"/>
    </xf>
    <xf numFmtId="9" fontId="0" fillId="0" borderId="0" xfId="0" applyNumberFormat="1"/>
    <xf numFmtId="0" fontId="0" fillId="0" borderId="0" xfId="0" applyAlignment="1">
      <alignment horizontal="center"/>
    </xf>
    <xf numFmtId="1" fontId="40" fillId="0" borderId="8" xfId="0" applyNumberFormat="1" applyFont="1" applyBorder="1" applyAlignment="1">
      <alignment horizontal="center"/>
    </xf>
    <xf numFmtId="2" fontId="40" fillId="0" borderId="14" xfId="0" applyNumberFormat="1" applyFont="1" applyBorder="1" applyAlignment="1">
      <alignment horizontal="center"/>
    </xf>
    <xf numFmtId="171" fontId="40" fillId="0" borderId="10" xfId="0" applyNumberFormat="1" applyFont="1" applyBorder="1" applyAlignment="1">
      <alignment horizontal="center"/>
    </xf>
    <xf numFmtId="2" fontId="40" fillId="0" borderId="10" xfId="0" applyNumberFormat="1" applyFont="1" applyBorder="1" applyAlignment="1">
      <alignment horizontal="center"/>
    </xf>
    <xf numFmtId="9" fontId="40" fillId="0" borderId="10" xfId="0" applyNumberFormat="1" applyFont="1" applyBorder="1" applyAlignment="1">
      <alignment horizontal="center"/>
    </xf>
    <xf numFmtId="0" fontId="18" fillId="0" borderId="0" xfId="0" applyFont="1" applyAlignment="1">
      <alignment horizontal="left" vertical="top" wrapText="1"/>
    </xf>
    <xf numFmtId="0" fontId="0" fillId="0" borderId="0" xfId="0" applyAlignment="1">
      <alignment horizontal="left" vertical="center"/>
    </xf>
    <xf numFmtId="0" fontId="0" fillId="0" borderId="0" xfId="0" applyAlignment="1"/>
    <xf numFmtId="0" fontId="10" fillId="2" borderId="0" xfId="0" applyFont="1" applyFill="1" applyAlignment="1">
      <alignment wrapText="1"/>
    </xf>
    <xf numFmtId="0" fontId="11" fillId="2" borderId="0" xfId="0" applyFont="1" applyFill="1" applyAlignment="1"/>
    <xf numFmtId="0" fontId="0" fillId="0" borderId="0" xfId="0" applyAlignment="1">
      <alignment vertical="top"/>
    </xf>
    <xf numFmtId="0" fontId="6" fillId="2" borderId="10" xfId="0" applyFont="1" applyFill="1" applyBorder="1" applyAlignment="1">
      <alignment horizontal="center" vertical="top" wrapText="1"/>
    </xf>
    <xf numFmtId="43" fontId="1" fillId="2" borderId="0" xfId="3" applyFont="1" applyFill="1" applyBorder="1" applyAlignment="1">
      <alignment vertical="top"/>
    </xf>
    <xf numFmtId="49" fontId="1" fillId="2" borderId="0" xfId="3" applyNumberFormat="1" applyFont="1" applyFill="1" applyBorder="1" applyAlignment="1">
      <alignment vertical="top"/>
    </xf>
    <xf numFmtId="0" fontId="0" fillId="0" borderId="0" xfId="0" applyBorder="1" applyAlignment="1"/>
    <xf numFmtId="43" fontId="0" fillId="0" borderId="0" xfId="3" applyFont="1" applyBorder="1" applyAlignment="1"/>
    <xf numFmtId="0" fontId="22" fillId="0" borderId="0" xfId="0" applyFont="1" applyAlignment="1">
      <alignment horizontal="left" vertical="top"/>
    </xf>
    <xf numFmtId="0" fontId="3" fillId="2" borderId="0" xfId="0" applyFont="1" applyFill="1" applyAlignment="1">
      <alignment vertical="top"/>
    </xf>
    <xf numFmtId="49" fontId="0" fillId="0" borderId="0" xfId="0" applyNumberFormat="1" applyBorder="1" applyAlignment="1">
      <alignment vertical="top"/>
    </xf>
    <xf numFmtId="0" fontId="30" fillId="0" borderId="10" xfId="0" applyFont="1" applyBorder="1"/>
    <xf numFmtId="0" fontId="18" fillId="0" borderId="10" xfId="0" applyFont="1" applyBorder="1" applyAlignment="1">
      <alignment horizontal="center"/>
    </xf>
    <xf numFmtId="0" fontId="18" fillId="0" borderId="8" xfId="0" applyFont="1" applyBorder="1"/>
    <xf numFmtId="0" fontId="18" fillId="0" borderId="8" xfId="0" applyFont="1" applyBorder="1" applyAlignment="1">
      <alignment horizontal="center"/>
    </xf>
    <xf numFmtId="0" fontId="30" fillId="0" borderId="11" xfId="0" applyFont="1" applyBorder="1"/>
    <xf numFmtId="0" fontId="18" fillId="0" borderId="13" xfId="0" applyFont="1" applyBorder="1"/>
    <xf numFmtId="0" fontId="18" fillId="0" borderId="13" xfId="0" applyFont="1" applyBorder="1" applyAlignment="1">
      <alignment horizontal="center"/>
    </xf>
    <xf numFmtId="0" fontId="18" fillId="0" borderId="12" xfId="0" applyFont="1" applyBorder="1" applyAlignment="1">
      <alignment horizontal="center"/>
    </xf>
    <xf numFmtId="0" fontId="18" fillId="0" borderId="14" xfId="0" applyFont="1" applyBorder="1"/>
    <xf numFmtId="9" fontId="18" fillId="0" borderId="14" xfId="2" applyFont="1" applyBorder="1"/>
    <xf numFmtId="0" fontId="18" fillId="0" borderId="14" xfId="0" applyFont="1" applyBorder="1" applyAlignment="1">
      <alignment horizontal="center"/>
    </xf>
    <xf numFmtId="9" fontId="18" fillId="0" borderId="8" xfId="2" applyFont="1" applyBorder="1"/>
    <xf numFmtId="0" fontId="18" fillId="2" borderId="21" xfId="0" applyFont="1" applyFill="1" applyBorder="1"/>
    <xf numFmtId="1" fontId="18" fillId="0" borderId="21" xfId="0" applyNumberFormat="1" applyFont="1" applyBorder="1"/>
    <xf numFmtId="9" fontId="18" fillId="0" borderId="21" xfId="0" applyNumberFormat="1" applyFont="1" applyBorder="1"/>
    <xf numFmtId="0" fontId="18" fillId="0" borderId="21" xfId="0" applyFont="1" applyBorder="1" applyAlignment="1">
      <alignment horizontal="center"/>
    </xf>
    <xf numFmtId="9" fontId="18" fillId="0" borderId="13" xfId="0" applyNumberFormat="1" applyFont="1" applyBorder="1"/>
    <xf numFmtId="171" fontId="18" fillId="0" borderId="14" xfId="0" applyNumberFormat="1" applyFont="1" applyBorder="1"/>
    <xf numFmtId="171" fontId="18" fillId="0" borderId="14" xfId="0" applyNumberFormat="1" applyFont="1" applyFill="1" applyBorder="1"/>
    <xf numFmtId="9" fontId="18" fillId="0" borderId="14" xfId="0" applyNumberFormat="1" applyFont="1" applyBorder="1"/>
    <xf numFmtId="171" fontId="18" fillId="0" borderId="10" xfId="0" applyNumberFormat="1" applyFont="1" applyBorder="1"/>
    <xf numFmtId="171" fontId="18" fillId="0" borderId="10" xfId="0" applyNumberFormat="1" applyFont="1" applyFill="1" applyBorder="1"/>
    <xf numFmtId="9" fontId="18" fillId="0" borderId="10" xfId="0" applyNumberFormat="1" applyFont="1" applyBorder="1"/>
    <xf numFmtId="171" fontId="18" fillId="0" borderId="8" xfId="0" applyNumberFormat="1" applyFont="1" applyBorder="1"/>
    <xf numFmtId="171" fontId="18" fillId="0" borderId="8" xfId="0" applyNumberFormat="1" applyFont="1" applyFill="1" applyBorder="1"/>
    <xf numFmtId="9" fontId="18" fillId="0" borderId="8" xfId="0" applyNumberFormat="1" applyFont="1" applyBorder="1"/>
    <xf numFmtId="0" fontId="18" fillId="0" borderId="11" xfId="0" applyFont="1" applyBorder="1"/>
    <xf numFmtId="0" fontId="18" fillId="0" borderId="12" xfId="0" applyFont="1" applyBorder="1"/>
    <xf numFmtId="0" fontId="18" fillId="0" borderId="10" xfId="0" applyFont="1" applyBorder="1" applyAlignment="1"/>
    <xf numFmtId="0" fontId="18" fillId="0" borderId="10" xfId="0" applyFont="1" applyBorder="1" applyAlignment="1">
      <alignment horizontal="right"/>
    </xf>
    <xf numFmtId="0" fontId="18" fillId="0" borderId="8" xfId="0" applyFont="1" applyBorder="1" applyAlignment="1"/>
    <xf numFmtId="0" fontId="18" fillId="0" borderId="13" xfId="0" applyFont="1" applyBorder="1" applyAlignment="1"/>
    <xf numFmtId="2" fontId="18" fillId="0" borderId="14" xfId="0" applyNumberFormat="1" applyFont="1" applyBorder="1"/>
    <xf numFmtId="9" fontId="18" fillId="0" borderId="10" xfId="2" applyFont="1" applyBorder="1"/>
    <xf numFmtId="0" fontId="18" fillId="0" borderId="8" xfId="0" applyFont="1" applyBorder="1" applyAlignment="1">
      <alignment horizontal="right"/>
    </xf>
    <xf numFmtId="0" fontId="18" fillId="0" borderId="14" xfId="0" applyFont="1" applyBorder="1" applyAlignment="1"/>
    <xf numFmtId="2" fontId="18" fillId="0" borderId="10" xfId="0" applyNumberFormat="1" applyFont="1" applyBorder="1"/>
    <xf numFmtId="0" fontId="58" fillId="2" borderId="0" xfId="0" applyFont="1" applyFill="1" applyAlignment="1"/>
    <xf numFmtId="0" fontId="10" fillId="2" borderId="0" xfId="0" applyFont="1" applyFill="1" applyAlignment="1"/>
    <xf numFmtId="0" fontId="4" fillId="2" borderId="0" xfId="1" applyFill="1" applyAlignment="1" applyProtection="1"/>
    <xf numFmtId="0" fontId="8" fillId="0" borderId="10" xfId="0" applyFont="1" applyFill="1" applyBorder="1" applyAlignment="1">
      <alignment horizontal="left" vertical="top"/>
    </xf>
    <xf numFmtId="0" fontId="0" fillId="0" borderId="10" xfId="0" applyBorder="1" applyAlignment="1">
      <alignment horizontal="left"/>
    </xf>
    <xf numFmtId="3" fontId="1" fillId="0" borderId="10" xfId="0" applyNumberFormat="1" applyFont="1" applyBorder="1" applyAlignment="1">
      <alignment horizontal="center"/>
    </xf>
    <xf numFmtId="165" fontId="1" fillId="0" borderId="10" xfId="3" applyNumberFormat="1" applyFont="1" applyFill="1" applyBorder="1" applyAlignment="1">
      <alignment horizontal="center" vertical="top" wrapText="1"/>
    </xf>
    <xf numFmtId="0" fontId="0" fillId="0" borderId="10" xfId="0" applyFill="1" applyBorder="1" applyAlignment="1">
      <alignment horizontal="center" vertical="top" wrapText="1"/>
    </xf>
    <xf numFmtId="0" fontId="6" fillId="2" borderId="10" xfId="0" applyFont="1" applyFill="1" applyBorder="1" applyAlignment="1">
      <alignment horizontal="center" vertical="top"/>
    </xf>
    <xf numFmtId="0" fontId="1" fillId="0" borderId="10" xfId="3" applyNumberFormat="1" applyFont="1" applyFill="1" applyBorder="1" applyAlignment="1">
      <alignment horizontal="center" vertical="center"/>
    </xf>
    <xf numFmtId="1" fontId="1" fillId="0" borderId="10" xfId="3" applyNumberFormat="1" applyFont="1" applyFill="1" applyBorder="1" applyAlignment="1">
      <alignment horizontal="center" vertical="center"/>
    </xf>
    <xf numFmtId="43" fontId="1" fillId="2" borderId="0" xfId="3" applyFont="1" applyFill="1" applyBorder="1" applyAlignment="1">
      <alignment vertical="top" wrapText="1"/>
    </xf>
    <xf numFmtId="0" fontId="0" fillId="0" borderId="0" xfId="0" applyAlignment="1"/>
    <xf numFmtId="0" fontId="1" fillId="2" borderId="0" xfId="0" applyFont="1" applyFill="1" applyBorder="1" applyAlignment="1">
      <alignment vertical="top" wrapText="1"/>
    </xf>
    <xf numFmtId="0" fontId="23" fillId="0" borderId="0" xfId="0" applyFont="1" applyBorder="1" applyAlignment="1">
      <alignment vertical="top" wrapText="1"/>
    </xf>
    <xf numFmtId="0" fontId="10" fillId="2" borderId="0" xfId="0" applyFont="1" applyFill="1" applyAlignment="1">
      <alignment wrapText="1"/>
    </xf>
    <xf numFmtId="0" fontId="4" fillId="2" borderId="0" xfId="1" applyFill="1" applyAlignment="1" applyProtection="1"/>
    <xf numFmtId="0" fontId="11" fillId="2" borderId="0" xfId="0" applyFont="1" applyFill="1" applyAlignment="1"/>
    <xf numFmtId="0" fontId="6" fillId="2" borderId="11" xfId="0" applyFont="1" applyFill="1" applyBorder="1" applyAlignment="1">
      <alignment horizontal="center" vertical="top" wrapText="1"/>
    </xf>
    <xf numFmtId="0" fontId="0" fillId="2" borderId="13" xfId="0" applyFill="1" applyBorder="1" applyAlignment="1">
      <alignment horizontal="center" vertical="top" wrapText="1"/>
    </xf>
    <xf numFmtId="0" fontId="0" fillId="2" borderId="12" xfId="0" applyFill="1" applyBorder="1" applyAlignment="1">
      <alignment horizontal="center" vertical="top" wrapText="1"/>
    </xf>
    <xf numFmtId="0" fontId="6" fillId="2" borderId="12" xfId="0" applyFont="1" applyFill="1" applyBorder="1" applyAlignment="1">
      <alignment horizontal="center" vertical="top" wrapText="1"/>
    </xf>
    <xf numFmtId="49" fontId="1" fillId="2" borderId="0" xfId="3" applyNumberFormat="1" applyFont="1" applyFill="1" applyBorder="1" applyAlignment="1">
      <alignment vertical="top" wrapText="1"/>
    </xf>
    <xf numFmtId="0" fontId="18" fillId="0" borderId="0" xfId="0" applyFont="1" applyAlignment="1"/>
    <xf numFmtId="0" fontId="22" fillId="0" borderId="0" xfId="0" applyFont="1" applyAlignment="1"/>
    <xf numFmtId="0" fontId="18" fillId="0" borderId="0" xfId="0" applyFont="1" applyAlignment="1">
      <alignment horizontal="left" vertical="top" wrapText="1"/>
    </xf>
    <xf numFmtId="0" fontId="22" fillId="0" borderId="0" xfId="0" applyFont="1" applyAlignment="1">
      <alignment horizontal="left" vertical="top" wrapText="1"/>
    </xf>
    <xf numFmtId="0" fontId="0" fillId="0" borderId="0" xfId="0" applyAlignment="1">
      <alignment horizontal="left" vertical="center"/>
    </xf>
    <xf numFmtId="9" fontId="1" fillId="0" borderId="10" xfId="2" applyFont="1" applyBorder="1" applyAlignment="1">
      <alignment horizontal="center"/>
    </xf>
    <xf numFmtId="9" fontId="0" fillId="0" borderId="10" xfId="2" applyFont="1" applyBorder="1" applyAlignment="1">
      <alignment horizontal="center"/>
    </xf>
    <xf numFmtId="0" fontId="6" fillId="2" borderId="10" xfId="0" applyFont="1" applyFill="1" applyBorder="1" applyAlignment="1">
      <alignment horizontal="center" vertical="top" wrapText="1"/>
    </xf>
    <xf numFmtId="0" fontId="0" fillId="2" borderId="10" xfId="0" applyFill="1" applyBorder="1" applyAlignment="1">
      <alignment horizontal="center" vertical="top" wrapText="1"/>
    </xf>
    <xf numFmtId="4" fontId="1" fillId="0" borderId="10" xfId="0" applyNumberFormat="1" applyFont="1" applyBorder="1" applyAlignment="1">
      <alignment horizontal="center"/>
    </xf>
    <xf numFmtId="4" fontId="0" fillId="0" borderId="10" xfId="0" applyNumberFormat="1" applyBorder="1" applyAlignment="1">
      <alignment horizontal="center"/>
    </xf>
    <xf numFmtId="0" fontId="3" fillId="2" borderId="0" xfId="0" applyFont="1" applyFill="1" applyBorder="1" applyAlignment="1">
      <alignment vertical="top" wrapText="1"/>
    </xf>
    <xf numFmtId="0" fontId="26" fillId="0" borderId="0" xfId="0" applyFont="1" applyBorder="1" applyAlignment="1">
      <alignment vertical="top" wrapText="1"/>
    </xf>
    <xf numFmtId="9" fontId="1" fillId="0" borderId="11" xfId="2" applyFont="1" applyBorder="1" applyAlignment="1">
      <alignment horizontal="center"/>
    </xf>
    <xf numFmtId="9" fontId="1" fillId="0" borderId="13" xfId="2" applyFont="1" applyBorder="1" applyAlignment="1">
      <alignment horizontal="center"/>
    </xf>
    <xf numFmtId="9" fontId="1" fillId="0" borderId="12" xfId="2" applyFont="1" applyBorder="1" applyAlignment="1">
      <alignment horizontal="center"/>
    </xf>
    <xf numFmtId="0" fontId="4" fillId="2" borderId="0" xfId="1" applyFill="1" applyAlignment="1" applyProtection="1">
      <alignment wrapText="1"/>
    </xf>
    <xf numFmtId="0" fontId="6" fillId="2" borderId="13" xfId="0" applyFont="1" applyFill="1" applyBorder="1" applyAlignment="1">
      <alignment horizontal="center" vertical="top" wrapText="1"/>
    </xf>
    <xf numFmtId="0" fontId="1" fillId="2" borderId="18" xfId="0" applyFont="1" applyFill="1" applyBorder="1" applyAlignment="1">
      <alignment vertical="top" wrapText="1"/>
    </xf>
    <xf numFmtId="0" fontId="23" fillId="2" borderId="0" xfId="0" applyFont="1" applyFill="1" applyAlignment="1">
      <alignment vertical="top" wrapText="1"/>
    </xf>
    <xf numFmtId="49" fontId="1" fillId="2" borderId="0" xfId="3" quotePrefix="1" applyNumberFormat="1" applyFont="1" applyFill="1" applyBorder="1" applyAlignment="1">
      <alignment horizontal="left" vertical="top" wrapText="1"/>
    </xf>
    <xf numFmtId="49" fontId="1" fillId="2" borderId="0" xfId="3" quotePrefix="1" applyNumberFormat="1" applyFont="1" applyFill="1" applyBorder="1" applyAlignment="1">
      <alignment vertical="top" wrapText="1"/>
    </xf>
    <xf numFmtId="49" fontId="0" fillId="2" borderId="0" xfId="0" applyNumberFormat="1" applyFill="1" applyAlignment="1">
      <alignment vertical="top" wrapText="1"/>
    </xf>
    <xf numFmtId="49" fontId="0" fillId="2" borderId="0" xfId="0" applyNumberFormat="1" applyFill="1" applyAlignment="1">
      <alignment wrapText="1"/>
    </xf>
    <xf numFmtId="0" fontId="0" fillId="2" borderId="0" xfId="0" applyFill="1" applyAlignment="1">
      <alignment horizontal="left" vertical="center"/>
    </xf>
    <xf numFmtId="49" fontId="0" fillId="0" borderId="0" xfId="0" applyNumberFormat="1" applyAlignment="1">
      <alignment vertical="top" wrapText="1"/>
    </xf>
    <xf numFmtId="0" fontId="0" fillId="0" borderId="0" xfId="0" applyAlignment="1">
      <alignment vertical="top" wrapText="1"/>
    </xf>
    <xf numFmtId="0" fontId="1" fillId="2" borderId="0" xfId="0" applyFont="1" applyFill="1" applyAlignment="1">
      <alignment vertical="top" wrapText="1"/>
    </xf>
    <xf numFmtId="0" fontId="6" fillId="2" borderId="5" xfId="0" applyFont="1" applyFill="1" applyBorder="1" applyAlignment="1">
      <alignment horizontal="center" vertical="top" wrapText="1"/>
    </xf>
    <xf numFmtId="0" fontId="6" fillId="2" borderId="4" xfId="0" applyFont="1" applyFill="1" applyBorder="1" applyAlignment="1">
      <alignment horizontal="center" vertical="top" wrapText="1"/>
    </xf>
    <xf numFmtId="0" fontId="6" fillId="2" borderId="3" xfId="0" applyFont="1" applyFill="1" applyBorder="1" applyAlignment="1">
      <alignment horizontal="center" vertical="top" wrapText="1"/>
    </xf>
    <xf numFmtId="0" fontId="3" fillId="2" borderId="5" xfId="0" applyFont="1" applyFill="1" applyBorder="1" applyAlignment="1">
      <alignment horizontal="center" vertical="top" wrapText="1"/>
    </xf>
    <xf numFmtId="0" fontId="3" fillId="2" borderId="3" xfId="0" applyFont="1" applyFill="1" applyBorder="1" applyAlignment="1">
      <alignment horizontal="center" vertical="top" wrapText="1"/>
    </xf>
    <xf numFmtId="0" fontId="15" fillId="0" borderId="0" xfId="0" applyFont="1" applyAlignment="1">
      <alignment vertical="top" wrapText="1"/>
    </xf>
    <xf numFmtId="0" fontId="6" fillId="2" borderId="6" xfId="0" applyFont="1" applyFill="1" applyBorder="1" applyAlignment="1">
      <alignment horizontal="center" vertical="center" wrapText="1"/>
    </xf>
    <xf numFmtId="0" fontId="0" fillId="2" borderId="6" xfId="0" applyFill="1" applyBorder="1" applyAlignment="1">
      <alignment horizontal="center" vertical="center" wrapText="1"/>
    </xf>
    <xf numFmtId="0" fontId="6" fillId="2" borderId="0" xfId="0" applyFont="1" applyFill="1" applyBorder="1" applyAlignment="1">
      <alignment horizontal="center" vertical="top" wrapText="1"/>
    </xf>
    <xf numFmtId="0" fontId="0" fillId="2" borderId="0" xfId="0" applyFill="1" applyBorder="1" applyAlignment="1">
      <alignment horizontal="center" vertical="top" wrapText="1"/>
    </xf>
    <xf numFmtId="0" fontId="6" fillId="2" borderId="0" xfId="0" applyFont="1" applyFill="1" applyBorder="1" applyAlignment="1">
      <alignment vertical="top" wrapText="1"/>
    </xf>
    <xf numFmtId="17" fontId="3" fillId="2" borderId="0" xfId="0" quotePrefix="1" applyNumberFormat="1" applyFont="1" applyFill="1" applyBorder="1" applyAlignment="1">
      <alignment horizontal="center" vertical="top" wrapText="1"/>
    </xf>
    <xf numFmtId="0" fontId="0" fillId="2" borderId="0" xfId="0" applyFill="1" applyBorder="1" applyAlignment="1">
      <alignment vertical="top" wrapText="1"/>
    </xf>
    <xf numFmtId="0" fontId="30" fillId="0" borderId="10" xfId="0" applyFont="1" applyBorder="1" applyAlignment="1">
      <alignment horizontal="center"/>
    </xf>
    <xf numFmtId="0" fontId="18" fillId="0" borderId="10" xfId="0" applyFont="1" applyBorder="1" applyAlignment="1">
      <alignment horizontal="center"/>
    </xf>
    <xf numFmtId="0" fontId="29" fillId="2" borderId="11" xfId="0" applyFont="1" applyFill="1" applyBorder="1" applyAlignment="1">
      <alignment horizontal="center" vertical="center" wrapText="1"/>
    </xf>
    <xf numFmtId="0" fontId="29" fillId="2" borderId="13" xfId="0" applyFont="1" applyFill="1" applyBorder="1" applyAlignment="1">
      <alignment horizontal="center" vertical="center" wrapText="1"/>
    </xf>
    <xf numFmtId="0" fontId="29" fillId="2" borderId="12" xfId="0" applyFont="1" applyFill="1" applyBorder="1" applyAlignment="1">
      <alignment horizontal="center" vertical="center" wrapText="1"/>
    </xf>
    <xf numFmtId="0" fontId="29" fillId="2" borderId="19" xfId="0" applyFont="1" applyFill="1" applyBorder="1" applyAlignment="1">
      <alignment horizontal="center" vertical="center" wrapText="1"/>
    </xf>
    <xf numFmtId="0" fontId="29" fillId="2" borderId="20" xfId="0" applyFont="1" applyFill="1" applyBorder="1" applyAlignment="1">
      <alignment horizontal="center" vertical="center" wrapText="1"/>
    </xf>
    <xf numFmtId="0" fontId="31" fillId="2" borderId="11" xfId="0" applyFont="1" applyFill="1" applyBorder="1" applyAlignment="1">
      <alignment vertical="center" wrapText="1"/>
    </xf>
    <xf numFmtId="0" fontId="31" fillId="2" borderId="13" xfId="0" applyFont="1" applyFill="1" applyBorder="1" applyAlignment="1">
      <alignment vertical="center" wrapText="1"/>
    </xf>
    <xf numFmtId="0" fontId="31" fillId="2" borderId="12" xfId="0" applyFont="1" applyFill="1" applyBorder="1" applyAlignment="1">
      <alignment vertical="center" wrapText="1"/>
    </xf>
    <xf numFmtId="0" fontId="30" fillId="2" borderId="11" xfId="0" applyFont="1" applyFill="1" applyBorder="1" applyAlignment="1">
      <alignment vertical="center" wrapText="1"/>
    </xf>
    <xf numFmtId="0" fontId="30" fillId="2" borderId="13" xfId="0" applyFont="1" applyFill="1" applyBorder="1" applyAlignment="1">
      <alignment vertical="center" wrapText="1"/>
    </xf>
    <xf numFmtId="0" fontId="30" fillId="2" borderId="12" xfId="0" applyFont="1" applyFill="1" applyBorder="1" applyAlignment="1">
      <alignment vertical="center" wrapText="1"/>
    </xf>
    <xf numFmtId="0" fontId="1" fillId="0" borderId="0" xfId="0" applyFont="1" applyFill="1" applyAlignment="1">
      <alignment horizontal="left" vertical="top" wrapText="1"/>
    </xf>
    <xf numFmtId="0" fontId="1" fillId="2" borderId="0" xfId="0" applyFont="1" applyFill="1" applyAlignment="1">
      <alignment horizontal="left" vertical="top" wrapText="1"/>
    </xf>
    <xf numFmtId="0" fontId="3" fillId="0" borderId="11" xfId="0" applyFont="1" applyFill="1" applyBorder="1" applyAlignment="1">
      <alignment vertical="center" wrapText="1"/>
    </xf>
    <xf numFmtId="0" fontId="3" fillId="0" borderId="13" xfId="0" applyFont="1" applyFill="1" applyBorder="1" applyAlignment="1">
      <alignment vertical="center" wrapText="1"/>
    </xf>
    <xf numFmtId="0" fontId="3" fillId="0" borderId="12" xfId="0" applyFont="1" applyFill="1" applyBorder="1" applyAlignment="1">
      <alignment vertical="center" wrapText="1"/>
    </xf>
    <xf numFmtId="0" fontId="29" fillId="0" borderId="11" xfId="0" applyFont="1" applyFill="1" applyBorder="1" applyAlignment="1">
      <alignment horizontal="center" vertical="center" wrapText="1"/>
    </xf>
    <xf numFmtId="0" fontId="29" fillId="0" borderId="13" xfId="0" applyFont="1" applyFill="1" applyBorder="1" applyAlignment="1">
      <alignment horizontal="center" vertical="center" wrapText="1"/>
    </xf>
    <xf numFmtId="0" fontId="29" fillId="0" borderId="12" xfId="0" applyFont="1" applyFill="1" applyBorder="1" applyAlignment="1">
      <alignment horizontal="center" vertical="center" wrapText="1"/>
    </xf>
    <xf numFmtId="0" fontId="31" fillId="0" borderId="11" xfId="0" applyFont="1" applyFill="1" applyBorder="1" applyAlignment="1">
      <alignment vertical="center" wrapText="1"/>
    </xf>
    <xf numFmtId="0" fontId="31" fillId="0" borderId="13" xfId="0" applyFont="1" applyFill="1" applyBorder="1" applyAlignment="1">
      <alignment vertical="center" wrapText="1"/>
    </xf>
    <xf numFmtId="0" fontId="31" fillId="0" borderId="12" xfId="0" applyFont="1" applyFill="1" applyBorder="1" applyAlignment="1">
      <alignment vertical="center" wrapText="1"/>
    </xf>
    <xf numFmtId="0" fontId="31" fillId="4" borderId="11" xfId="0" applyFont="1" applyFill="1" applyBorder="1" applyAlignment="1">
      <alignment vertical="center" wrapText="1"/>
    </xf>
    <xf numFmtId="0" fontId="31" fillId="4" borderId="13" xfId="0" applyFont="1" applyFill="1" applyBorder="1" applyAlignment="1">
      <alignment vertical="center" wrapText="1"/>
    </xf>
    <xf numFmtId="0" fontId="31" fillId="4" borderId="12" xfId="0" applyFont="1" applyFill="1" applyBorder="1" applyAlignment="1">
      <alignment vertical="center" wrapText="1"/>
    </xf>
    <xf numFmtId="0" fontId="30" fillId="4" borderId="11" xfId="0" applyFont="1" applyFill="1" applyBorder="1" applyAlignment="1">
      <alignment vertical="center" wrapText="1"/>
    </xf>
    <xf numFmtId="0" fontId="30" fillId="4" borderId="13" xfId="0" applyFont="1" applyFill="1" applyBorder="1" applyAlignment="1">
      <alignment vertical="center" wrapText="1"/>
    </xf>
    <xf numFmtId="0" fontId="30" fillId="4" borderId="12" xfId="0" applyFont="1" applyFill="1" applyBorder="1" applyAlignment="1">
      <alignment vertical="center" wrapText="1"/>
    </xf>
    <xf numFmtId="0" fontId="29" fillId="4" borderId="11" xfId="0" applyFont="1" applyFill="1" applyBorder="1" applyAlignment="1">
      <alignment horizontal="center" vertical="center" wrapText="1"/>
    </xf>
    <xf numFmtId="0" fontId="29" fillId="4" borderId="13" xfId="0" applyFont="1" applyFill="1" applyBorder="1" applyAlignment="1">
      <alignment horizontal="center" vertical="center" wrapText="1"/>
    </xf>
    <xf numFmtId="0" fontId="29" fillId="4" borderId="12" xfId="0" applyFont="1" applyFill="1" applyBorder="1" applyAlignment="1">
      <alignment horizontal="center" vertical="center" wrapText="1"/>
    </xf>
    <xf numFmtId="0" fontId="29" fillId="4" borderId="19" xfId="0" applyFont="1" applyFill="1" applyBorder="1" applyAlignment="1">
      <alignment horizontal="center" vertical="center" wrapText="1"/>
    </xf>
    <xf numFmtId="0" fontId="29" fillId="4" borderId="20" xfId="0" applyFont="1" applyFill="1" applyBorder="1" applyAlignment="1">
      <alignment horizontal="center" vertical="center" wrapText="1"/>
    </xf>
    <xf numFmtId="0" fontId="38" fillId="4" borderId="11" xfId="0" applyFont="1" applyFill="1" applyBorder="1" applyAlignment="1">
      <alignment vertical="center" wrapText="1"/>
    </xf>
    <xf numFmtId="0" fontId="38" fillId="4" borderId="13" xfId="0" applyFont="1" applyFill="1" applyBorder="1" applyAlignment="1">
      <alignment vertical="center" wrapText="1"/>
    </xf>
    <xf numFmtId="0" fontId="38" fillId="4" borderId="12" xfId="0" applyFont="1" applyFill="1" applyBorder="1" applyAlignment="1">
      <alignment vertical="center" wrapText="1"/>
    </xf>
    <xf numFmtId="0" fontId="3" fillId="2" borderId="11" xfId="0" applyFont="1" applyFill="1" applyBorder="1" applyAlignment="1">
      <alignment vertical="center" wrapText="1"/>
    </xf>
    <xf numFmtId="0" fontId="3" fillId="2" borderId="13" xfId="0" applyFont="1" applyFill="1" applyBorder="1" applyAlignment="1">
      <alignment vertical="center" wrapText="1"/>
    </xf>
    <xf numFmtId="0" fontId="3" fillId="2" borderId="12" xfId="0" applyFont="1" applyFill="1" applyBorder="1" applyAlignment="1">
      <alignment vertical="center" wrapText="1"/>
    </xf>
    <xf numFmtId="0" fontId="29" fillId="0" borderId="11" xfId="0" applyFont="1" applyBorder="1" applyAlignment="1">
      <alignment horizontal="center"/>
    </xf>
    <xf numFmtId="0" fontId="29" fillId="0" borderId="13" xfId="0" applyFont="1" applyBorder="1" applyAlignment="1">
      <alignment horizontal="center"/>
    </xf>
    <xf numFmtId="0" fontId="29" fillId="0" borderId="12" xfId="0" applyFont="1" applyBorder="1" applyAlignment="1">
      <alignment horizontal="center"/>
    </xf>
    <xf numFmtId="0" fontId="29" fillId="0" borderId="10" xfId="0" applyFont="1" applyBorder="1" applyAlignment="1">
      <alignment horizontal="center"/>
    </xf>
    <xf numFmtId="0" fontId="39" fillId="0" borderId="10" xfId="0" applyFont="1" applyBorder="1" applyAlignment="1">
      <alignment horizontal="center"/>
    </xf>
    <xf numFmtId="0" fontId="40" fillId="0" borderId="10" xfId="0" applyFont="1" applyBorder="1" applyAlignment="1">
      <alignment horizontal="center"/>
    </xf>
    <xf numFmtId="0" fontId="39" fillId="0" borderId="11" xfId="0" applyFont="1" applyBorder="1" applyAlignment="1">
      <alignment horizontal="center"/>
    </xf>
    <xf numFmtId="0" fontId="39" fillId="0" borderId="13" xfId="0" applyFont="1" applyBorder="1" applyAlignment="1">
      <alignment horizontal="center"/>
    </xf>
    <xf numFmtId="0" fontId="39" fillId="0" borderId="12" xfId="0" applyFont="1" applyBorder="1" applyAlignment="1">
      <alignment horizontal="center"/>
    </xf>
    <xf numFmtId="0" fontId="40" fillId="0" borderId="10" xfId="0" applyFont="1" applyBorder="1" applyAlignment="1">
      <alignment horizontal="right"/>
    </xf>
    <xf numFmtId="0" fontId="0" fillId="0" borderId="0" xfId="0" applyAlignment="1">
      <alignment vertical="center" wrapText="1"/>
    </xf>
    <xf numFmtId="0" fontId="62" fillId="0" borderId="0" xfId="0" applyFont="1" applyAlignment="1">
      <alignment horizontal="justify" vertical="center"/>
    </xf>
    <xf numFmtId="0" fontId="63" fillId="0" borderId="0" xfId="0" applyFont="1" applyAlignment="1">
      <alignment horizontal="justify" vertical="center"/>
    </xf>
    <xf numFmtId="0" fontId="39" fillId="0" borderId="10" xfId="0" applyFont="1" applyBorder="1" applyAlignment="1">
      <alignment horizontal="center" vertical="center" wrapText="1"/>
    </xf>
    <xf numFmtId="0" fontId="39" fillId="0" borderId="10" xfId="0" applyFont="1" applyBorder="1" applyAlignment="1">
      <alignment horizontal="center" vertical="center" wrapText="1"/>
    </xf>
    <xf numFmtId="0" fontId="0" fillId="0" borderId="10" xfId="0" applyBorder="1" applyAlignment="1">
      <alignment vertical="top" wrapText="1"/>
    </xf>
    <xf numFmtId="0" fontId="39" fillId="0" borderId="10" xfId="0" applyFont="1" applyBorder="1" applyAlignment="1">
      <alignment horizontal="justify" vertical="center" wrapText="1"/>
    </xf>
    <xf numFmtId="0" fontId="40" fillId="0" borderId="10" xfId="0" applyFont="1" applyBorder="1" applyAlignment="1">
      <alignment horizontal="left" vertical="center" wrapText="1"/>
    </xf>
    <xf numFmtId="0" fontId="40" fillId="0" borderId="10" xfId="0" applyFont="1" applyBorder="1" applyAlignment="1">
      <alignment horizontal="center" vertical="center" wrapText="1"/>
    </xf>
    <xf numFmtId="9" fontId="40" fillId="0" borderId="10" xfId="0" applyNumberFormat="1" applyFont="1" applyBorder="1" applyAlignment="1">
      <alignment horizontal="center" vertical="center" wrapText="1"/>
    </xf>
    <xf numFmtId="9" fontId="40" fillId="0" borderId="10" xfId="0" applyNumberFormat="1" applyFont="1" applyBorder="1" applyAlignment="1">
      <alignment horizontal="center" vertical="center" wrapText="1"/>
    </xf>
    <xf numFmtId="0" fontId="59" fillId="0" borderId="10" xfId="0" applyFont="1" applyBorder="1" applyAlignment="1">
      <alignment horizontal="left" vertical="center" wrapText="1"/>
    </xf>
    <xf numFmtId="0" fontId="60" fillId="0" borderId="10" xfId="0" applyFont="1" applyBorder="1" applyAlignment="1">
      <alignment horizontal="justify" vertical="center" wrapText="1"/>
    </xf>
    <xf numFmtId="0" fontId="60" fillId="0" borderId="10" xfId="0" applyFont="1" applyBorder="1" applyAlignment="1">
      <alignment horizontal="center" vertical="center" wrapText="1"/>
    </xf>
    <xf numFmtId="9" fontId="60" fillId="0" borderId="10" xfId="0" applyNumberFormat="1" applyFont="1" applyBorder="1" applyAlignment="1">
      <alignment horizontal="center" vertical="center" wrapText="1"/>
    </xf>
    <xf numFmtId="0" fontId="40" fillId="0" borderId="10" xfId="0" applyFont="1" applyBorder="1" applyAlignment="1">
      <alignment horizontal="center" vertical="center" wrapText="1"/>
    </xf>
    <xf numFmtId="0" fontId="60" fillId="0" borderId="10" xfId="0" applyFont="1" applyBorder="1" applyAlignment="1">
      <alignment horizontal="center" vertical="center" wrapText="1"/>
    </xf>
    <xf numFmtId="0" fontId="39" fillId="0" borderId="10" xfId="0" applyFont="1" applyBorder="1" applyAlignment="1">
      <alignment horizontal="justify" vertical="center" wrapText="1"/>
    </xf>
    <xf numFmtId="0" fontId="40" fillId="0" borderId="10" xfId="0" applyFont="1" applyBorder="1" applyAlignment="1">
      <alignment horizontal="justify" vertical="center" wrapText="1"/>
    </xf>
  </cellXfs>
  <cellStyles count="31">
    <cellStyle name="Comma" xfId="3" builtinId="3"/>
    <cellStyle name="Comma 2" xfId="5"/>
    <cellStyle name="Comma 2 2" xfId="10"/>
    <cellStyle name="Comma 3" xfId="11"/>
    <cellStyle name="Comma0 - Type3" xfId="12"/>
    <cellStyle name="Fixed2 - Type2" xfId="13"/>
    <cellStyle name="Hyperlink" xfId="1" builtinId="8"/>
    <cellStyle name="Hyperlink 2" xfId="14"/>
    <cellStyle name="Hyperlink 3" xfId="15"/>
    <cellStyle name="Input 2" xfId="16"/>
    <cellStyle name="Input 2 2" xfId="28"/>
    <cellStyle name="Komma 2" xfId="17"/>
    <cellStyle name="Komma 3" xfId="18"/>
    <cellStyle name="Link 2" xfId="6"/>
    <cellStyle name="Neutral 2" xfId="19"/>
    <cellStyle name="Normal" xfId="0" builtinId="0"/>
    <cellStyle name="Normal 10" xfId="4"/>
    <cellStyle name="Normal 2" xfId="7"/>
    <cellStyle name="Normal 2 2" xfId="20"/>
    <cellStyle name="Normal 3" xfId="8"/>
    <cellStyle name="Normal 6" xfId="21"/>
    <cellStyle name="Normal 6 2" xfId="22"/>
    <cellStyle name="Output 2" xfId="23"/>
    <cellStyle name="Output 2 2" xfId="29"/>
    <cellStyle name="Percen - Type1" xfId="24"/>
    <cellStyle name="Percent" xfId="2" builtinId="5"/>
    <cellStyle name="Percent 2" xfId="9"/>
    <cellStyle name="Procent 2" xfId="25"/>
    <cellStyle name="Procent 3" xfId="26"/>
    <cellStyle name="Total 2" xfId="27"/>
    <cellStyle name="Total 2 2" xfId="30"/>
  </cellStyles>
  <dxfs count="0"/>
  <tableStyles count="0" defaultTableStyle="TableStyleMedium2" defaultPivotStyle="PivotStyleLight16"/>
  <colors>
    <mruColors>
      <color rgb="FFFC10E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5</xdr:col>
      <xdr:colOff>0</xdr:colOff>
      <xdr:row>1</xdr:row>
      <xdr:rowOff>76200</xdr:rowOff>
    </xdr:from>
    <xdr:to>
      <xdr:col>14</xdr:col>
      <xdr:colOff>0</xdr:colOff>
      <xdr:row>12</xdr:row>
      <xdr:rowOff>47625</xdr:rowOff>
    </xdr:to>
    <xdr:sp macro="" textlink="">
      <xdr:nvSpPr>
        <xdr:cNvPr id="2" name="Tekstboks 2"/>
        <xdr:cNvSpPr txBox="1"/>
      </xdr:nvSpPr>
      <xdr:spPr>
        <a:xfrm>
          <a:off x="3619500" y="533400"/>
          <a:ext cx="6515100" cy="2143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da-DK" sz="1100">
              <a:solidFill>
                <a:schemeClr val="dk1"/>
              </a:solidFill>
              <a:effectLst/>
              <a:latin typeface="+mn-lt"/>
              <a:ea typeface="+mn-ea"/>
              <a:cs typeface="+mn-cs"/>
            </a:rPr>
            <a:t>The data sheets are continuously updated as technologies evolve, if the data changes significantly or if errors are found.  The date for the latest update is listed</a:t>
          </a:r>
          <a:r>
            <a:rPr lang="da-DK" sz="1100" baseline="0">
              <a:solidFill>
                <a:schemeClr val="dk1"/>
              </a:solidFill>
              <a:effectLst/>
              <a:latin typeface="+mn-lt"/>
              <a:ea typeface="+mn-ea"/>
              <a:cs typeface="+mn-cs"/>
            </a:rPr>
            <a:t> in the index below and also  indicated in the specific datasheets. </a:t>
          </a:r>
          <a:endParaRPr lang="da-DK" sz="1100" b="1" baseline="0"/>
        </a:p>
        <a:p>
          <a:endParaRPr lang="da-DK" sz="1100" b="1" baseline="0"/>
        </a:p>
        <a:p>
          <a:r>
            <a:rPr lang="da-DK" sz="1100" b="1" baseline="0"/>
            <a:t>INDEX:</a:t>
          </a:r>
          <a:endParaRPr lang="da-DK" sz="110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1">
              <a:solidFill>
                <a:schemeClr val="dk1"/>
              </a:solidFill>
              <a:effectLst/>
              <a:latin typeface="+mn-lt"/>
              <a:ea typeface="+mn-ea"/>
              <a:cs typeface="+mn-cs"/>
            </a:rPr>
            <a:t>85</a:t>
          </a:r>
          <a:r>
            <a:rPr lang="en-US" sz="1100" b="1" baseline="0">
              <a:solidFill>
                <a:schemeClr val="dk1"/>
              </a:solidFill>
              <a:effectLst/>
              <a:latin typeface="+mn-lt"/>
              <a:ea typeface="+mn-ea"/>
              <a:cs typeface="+mn-cs"/>
            </a:rPr>
            <a:t> Gasification of biomass for bio diesel has been overwritten with data from previous chapter 96. Chapter 96 has been removed. </a:t>
          </a:r>
          <a:r>
            <a:rPr kumimoji="0" lang="en-US" sz="1100" b="1" i="0" u="none" strike="noStrike" kern="0" cap="none" spc="0" normalizeH="0" baseline="0" noProof="0">
              <a:ln>
                <a:noFill/>
              </a:ln>
              <a:solidFill>
                <a:srgbClr val="FF0000"/>
              </a:solidFill>
              <a:effectLst/>
              <a:uLnTx/>
              <a:uFillTx/>
              <a:latin typeface="+mn-lt"/>
              <a:ea typeface="+mn-ea"/>
              <a:cs typeface="+mn-cs"/>
            </a:rPr>
            <a:t>(update Feb 2019)</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1" i="0" u="none" strike="noStrike" kern="0" cap="none" spc="0" normalizeH="0" baseline="0" noProof="0">
              <a:ln>
                <a:noFill/>
              </a:ln>
              <a:solidFill>
                <a:sysClr val="windowText" lastClr="000000"/>
              </a:solidFill>
              <a:effectLst/>
              <a:uLnTx/>
              <a:uFillTx/>
              <a:latin typeface="+mn-lt"/>
              <a:ea typeface="+mn-ea"/>
              <a:cs typeface="+mn-cs"/>
            </a:rPr>
            <a:t>101 Catalytic hydropyrolysis configuration 1 - financial data added. </a:t>
          </a:r>
          <a:r>
            <a:rPr kumimoji="0" lang="en-US" sz="1100" b="1" i="0" u="none" strike="noStrike" kern="0" cap="none" spc="0" normalizeH="0" baseline="0" noProof="0">
              <a:ln>
                <a:noFill/>
              </a:ln>
              <a:solidFill>
                <a:srgbClr val="FF0000"/>
              </a:solidFill>
              <a:effectLst/>
              <a:uLnTx/>
              <a:uFillTx/>
              <a:latin typeface="+mn-lt"/>
              <a:ea typeface="+mn-ea"/>
              <a:cs typeface="+mn-cs"/>
            </a:rPr>
            <a:t>(update Feb 2019)</a:t>
          </a:r>
          <a:endParaRPr lang="en-US" sz="1100" b="1">
            <a:solidFill>
              <a:schemeClr val="dk1"/>
            </a:solidFill>
            <a:effectLst/>
            <a:latin typeface="+mn-lt"/>
            <a:ea typeface="+mn-ea"/>
            <a:cs typeface="+mn-cs"/>
          </a:endParaRPr>
        </a:p>
        <a:p>
          <a:pPr marL="171450" lvl="0" indent="-171450">
            <a:buFont typeface="Arial" panose="020B0604020202020204" pitchFamily="34" charset="0"/>
            <a:buChar char="•"/>
          </a:pPr>
          <a:r>
            <a:rPr lang="en-US" sz="1100" b="1">
              <a:solidFill>
                <a:schemeClr val="dk1"/>
              </a:solidFill>
              <a:effectLst/>
              <a:latin typeface="+mn-lt"/>
              <a:ea typeface="+mn-ea"/>
              <a:cs typeface="+mn-cs"/>
            </a:rPr>
            <a:t>89-100</a:t>
          </a:r>
          <a:r>
            <a:rPr lang="en-US" sz="1100" b="1" baseline="0">
              <a:solidFill>
                <a:schemeClr val="dk1"/>
              </a:solidFill>
              <a:effectLst/>
              <a:latin typeface="+mn-lt"/>
              <a:ea typeface="+mn-ea"/>
              <a:cs typeface="+mn-cs"/>
            </a:rPr>
            <a:t> datasheets have been revised </a:t>
          </a:r>
          <a:r>
            <a:rPr lang="en-US" sz="1100" b="1" baseline="0">
              <a:solidFill>
                <a:srgbClr val="FF0000"/>
              </a:solidFill>
              <a:effectLst/>
              <a:latin typeface="+mn-lt"/>
              <a:ea typeface="+mn-ea"/>
              <a:cs typeface="+mn-cs"/>
            </a:rPr>
            <a:t>(update Dec 2018)</a:t>
          </a:r>
        </a:p>
        <a:p>
          <a:pPr marL="171450" lvl="0" indent="-171450">
            <a:buFont typeface="Arial" panose="020B0604020202020204" pitchFamily="34" charset="0"/>
            <a:buChar char="•"/>
          </a:pPr>
          <a:r>
            <a:rPr lang="en-US" sz="1100" b="1">
              <a:solidFill>
                <a:sysClr val="windowText" lastClr="000000"/>
              </a:solidFill>
              <a:effectLst/>
              <a:latin typeface="+mn-lt"/>
              <a:ea typeface="+mn-ea"/>
              <a:cs typeface="+mn-cs"/>
            </a:rPr>
            <a:t>101</a:t>
          </a:r>
          <a:r>
            <a:rPr lang="en-US" sz="1100" b="1" baseline="0">
              <a:solidFill>
                <a:sysClr val="windowText" lastClr="000000"/>
              </a:solidFill>
              <a:effectLst/>
              <a:latin typeface="+mn-lt"/>
              <a:ea typeface="+mn-ea"/>
              <a:cs typeface="+mn-cs"/>
            </a:rPr>
            <a:t> Catalytic hydropyrolysis in two configurations </a:t>
          </a:r>
          <a:r>
            <a:rPr lang="en-US" sz="1100" b="1" baseline="0">
              <a:solidFill>
                <a:srgbClr val="FF0000"/>
              </a:solidFill>
              <a:effectLst/>
              <a:latin typeface="+mn-lt"/>
              <a:ea typeface="+mn-ea"/>
              <a:cs typeface="+mn-cs"/>
            </a:rPr>
            <a:t>(added Dec 2018)</a:t>
          </a:r>
        </a:p>
        <a:p>
          <a:pPr marL="171450" lvl="0" indent="-171450">
            <a:buFont typeface="Arial" panose="020B0604020202020204" pitchFamily="34" charset="0"/>
            <a:buChar char="•"/>
          </a:pPr>
          <a:r>
            <a:rPr lang="en-US" sz="1100" b="1">
              <a:solidFill>
                <a:sysClr val="windowText" lastClr="000000"/>
              </a:solidFill>
              <a:effectLst/>
              <a:latin typeface="+mn-lt"/>
              <a:ea typeface="+mn-ea"/>
              <a:cs typeface="+mn-cs"/>
            </a:rPr>
            <a:t>83-88</a:t>
          </a:r>
          <a:r>
            <a:rPr lang="en-US" sz="1100" b="1" baseline="0">
              <a:solidFill>
                <a:sysClr val="windowText" lastClr="000000"/>
              </a:solidFill>
              <a:effectLst/>
              <a:latin typeface="+mn-lt"/>
              <a:ea typeface="+mn-ea"/>
              <a:cs typeface="+mn-cs"/>
            </a:rPr>
            <a:t> Gasification and electrolysis </a:t>
          </a:r>
          <a:r>
            <a:rPr lang="en-US" sz="1100" b="1" baseline="0">
              <a:solidFill>
                <a:srgbClr val="FF0000"/>
              </a:solidFill>
              <a:effectLst/>
              <a:latin typeface="+mn-lt"/>
              <a:ea typeface="+mn-ea"/>
              <a:cs typeface="+mn-cs"/>
            </a:rPr>
            <a:t>(added Dec 2018)</a:t>
          </a:r>
          <a:endParaRPr lang="en-US" sz="1100" b="1">
            <a:solidFill>
              <a:sysClr val="windowText" lastClr="00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GB"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da-DK" sz="1100" b="1">
            <a:solidFill>
              <a:schemeClr val="dk1"/>
            </a:solidFill>
            <a:effectLst/>
            <a:latin typeface="+mn-lt"/>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hyperlink" Target="http://www.volund.dk/Biomass_energy/Technologies/Gasification_of_biomas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8" Type="http://schemas.openxmlformats.org/officeDocument/2006/relationships/hyperlink" Target="https://ens.dk/sites/ens.dk/files/Statistik/energy_statistics_2015.pdf" TargetMode="External"/><Relationship Id="rId13" Type="http://schemas.openxmlformats.org/officeDocument/2006/relationships/hyperlink" Target="http://www.adktroutguide.com/files/1999_Phd_Thesis_-_Kinetics_Selectivity_and_Scaleup_of_FT_Synthesis.pdf" TargetMode="External"/><Relationship Id="rId18" Type="http://schemas.openxmlformats.org/officeDocument/2006/relationships/printerSettings" Target="../printerSettings/printerSettings3.bin"/><Relationship Id="rId3" Type="http://schemas.openxmlformats.org/officeDocument/2006/relationships/hyperlink" Target="https://www.doi.org/10.1021/ef302003f" TargetMode="External"/><Relationship Id="rId7" Type="http://schemas.openxmlformats.org/officeDocument/2006/relationships/hyperlink" Target="https://doi.org/10.13031/2013.30383" TargetMode="External"/><Relationship Id="rId12" Type="http://schemas.openxmlformats.org/officeDocument/2006/relationships/hyperlink" Target="http://web.anl.gov/PCS/acsfuel/preprint%20archive/Files/39_4_WASHINGTON%20DC_08-94_1146.pdf" TargetMode="External"/><Relationship Id="rId17" Type="http://schemas.openxmlformats.org/officeDocument/2006/relationships/hyperlink" Target="https://www.doi.org/10.1002/bbb.1613" TargetMode="External"/><Relationship Id="rId2" Type="http://schemas.openxmlformats.org/officeDocument/2006/relationships/hyperlink" Target="http://acee.princeton.edu/wp-content/uploads/2016/10/Kreutz-et-al-PCC-2008-10-7-08.pdf" TargetMode="External"/><Relationship Id="rId16" Type="http://schemas.openxmlformats.org/officeDocument/2006/relationships/hyperlink" Target="http://platformduurzamebiobrandstoffen.nl/wp-content/uploads/2017/07/2017_SGAB_Cost-of-Biofuels.pdf" TargetMode="External"/><Relationship Id="rId1" Type="http://schemas.openxmlformats.org/officeDocument/2006/relationships/hyperlink" Target="https://www.doi.org/10.1002/bbb.1710" TargetMode="External"/><Relationship Id="rId6" Type="http://schemas.openxmlformats.org/officeDocument/2006/relationships/hyperlink" Target="http://www.velocys.com/our-biorefineries/" TargetMode="External"/><Relationship Id="rId11" Type="http://schemas.openxmlformats.org/officeDocument/2006/relationships/hyperlink" Target="https://biorrefineria.blogspot.ca/2017/06/velocys-plans-for-construction-of-commercial-BTL-plant-move-forward.html" TargetMode="External"/><Relationship Id="rId5" Type="http://schemas.openxmlformats.org/officeDocument/2006/relationships/hyperlink" Target="https://doi.org/10.1016/j.jechem.2015.11.005" TargetMode="External"/><Relationship Id="rId15" Type="http://schemas.openxmlformats.org/officeDocument/2006/relationships/hyperlink" Target="http://www.irena.org/DocumentDownloads/Publications/IRENA_Innovation_Outlook_Advanced_Liquid_Biofuels_2016.pdf" TargetMode="External"/><Relationship Id="rId10" Type="http://schemas.openxmlformats.org/officeDocument/2006/relationships/hyperlink" Target="http://www.velocys.com/establishment-of-a-strategic-alliance-with-tri/" TargetMode="External"/><Relationship Id="rId4" Type="http://schemas.openxmlformats.org/officeDocument/2006/relationships/hyperlink" Target="https://doi.org/10.1039/C6EE00935B" TargetMode="External"/><Relationship Id="rId9" Type="http://schemas.openxmlformats.org/officeDocument/2006/relationships/hyperlink" Target="https://www.doi.org/10.3389/fsufs.2017.00002" TargetMode="External"/><Relationship Id="rId14" Type="http://schemas.openxmlformats.org/officeDocument/2006/relationships/hyperlink" Target="https://www.ien.com/operations/news/20980331/mississippi-lands-biofuel-refinery"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http://www.ceth.fr/products-PEM-electrolyser.php,%202013"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www.irena.org/-/media/Files/IRENA/Agency/Publication/2013/Road_Transport.ashx" TargetMode="External"/><Relationship Id="rId3" Type="http://schemas.openxmlformats.org/officeDocument/2006/relationships/hyperlink" Target="http://www.eia.gov/cfapps/ipdbproject/IEDIndex3.cfm?tid=79&amp;pid=79&amp;aid=1" TargetMode="External"/><Relationship Id="rId7" Type="http://schemas.openxmlformats.org/officeDocument/2006/relationships/hyperlink" Target="https://www.cargill.com/2017/cargill-to-build-state-of-the-art-biodiesel-plant-in-wichita-ks" TargetMode="External"/><Relationship Id="rId2" Type="http://schemas.openxmlformats.org/officeDocument/2006/relationships/hyperlink" Target="http://www.desmetballestra.com/images/PDF-Brochures-2014/Biodiesel2015.pdf" TargetMode="External"/><Relationship Id="rId1" Type="http://schemas.openxmlformats.org/officeDocument/2006/relationships/hyperlink" Target="https://www.iisd.org/gsi/sites/default/files/bf_awc_germany.pdf" TargetMode="External"/><Relationship Id="rId6" Type="http://schemas.openxmlformats.org/officeDocument/2006/relationships/hyperlink" Target="https://doi.org/10.1016/j.biortech.2017.12.031" TargetMode="External"/><Relationship Id="rId11" Type="http://schemas.openxmlformats.org/officeDocument/2006/relationships/printerSettings" Target="../printerSettings/printerSettings4.bin"/><Relationship Id="rId5" Type="http://schemas.openxmlformats.org/officeDocument/2006/relationships/hyperlink" Target="http://task39.sites.olt.ubc.ca/files/2015/06/IEA-Bioenergy-Task-39-Newsletter-Issue-39-May-2015-final.pdf" TargetMode="External"/><Relationship Id="rId10" Type="http://schemas.openxmlformats.org/officeDocument/2006/relationships/hyperlink" Target="http://www.extension.iastate.edu/agdm/energy/xls/d1-15biodieselprofitability.xlsx" TargetMode="External"/><Relationship Id="rId4" Type="http://schemas.openxmlformats.org/officeDocument/2006/relationships/hyperlink" Target="https://ens.dk/sites/ens.dk/files/Statistik/energy_statistics_2015.pdf" TargetMode="External"/><Relationship Id="rId9" Type="http://schemas.openxmlformats.org/officeDocument/2006/relationships/hyperlink" Target="http://task39.sites.olt.ubc.ca/files/2013/05/Technological-learning-in-the-German-Biodiesel-Industry.pdf"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www.irena.org/-/media/Files/IRENA/Agency/Publication/2013/Road_Transport.ashx" TargetMode="External"/><Relationship Id="rId3" Type="http://schemas.openxmlformats.org/officeDocument/2006/relationships/hyperlink" Target="http://www.eia.gov/cfapps/ipdbproject/IEDIndex3.cfm?tid=79&amp;pid=79&amp;aid=1" TargetMode="External"/><Relationship Id="rId7" Type="http://schemas.openxmlformats.org/officeDocument/2006/relationships/hyperlink" Target="https://www.cargill.com/2017/cargill-to-build-state-of-the-art-biodiesel-plant-in-wichita-ks" TargetMode="External"/><Relationship Id="rId2" Type="http://schemas.openxmlformats.org/officeDocument/2006/relationships/hyperlink" Target="http://www.desmetballestra.com/images/PDF-Brochures-2014/Biodiesel2015.pdf" TargetMode="External"/><Relationship Id="rId1" Type="http://schemas.openxmlformats.org/officeDocument/2006/relationships/hyperlink" Target="https://www.iisd.org/gsi/sites/default/files/bf_awc_germany.pdf" TargetMode="External"/><Relationship Id="rId6" Type="http://schemas.openxmlformats.org/officeDocument/2006/relationships/hyperlink" Target="https://doi.org/10.1016/j.biortech.2017.12.031" TargetMode="External"/><Relationship Id="rId5" Type="http://schemas.openxmlformats.org/officeDocument/2006/relationships/hyperlink" Target="http://task39.sites.olt.ubc.ca/files/2015/06/IEA-Bioenergy-Task-39-Newsletter-Issue-39-May-2015-final.pdf" TargetMode="External"/><Relationship Id="rId10" Type="http://schemas.openxmlformats.org/officeDocument/2006/relationships/hyperlink" Target="http://www.extension.iastate.edu/agdm/energy/xls/d1-15biodieselprofitability.xlsx" TargetMode="External"/><Relationship Id="rId4" Type="http://schemas.openxmlformats.org/officeDocument/2006/relationships/hyperlink" Target="https://ens.dk/sites/ens.dk/files/Statistik/energy_statistics_2015.pdf" TargetMode="External"/><Relationship Id="rId9" Type="http://schemas.openxmlformats.org/officeDocument/2006/relationships/hyperlink" Target="http://task39.sites.olt.ubc.ca/files/2013/05/Technological-learning-in-the-German-Biodiesel-Industry.pdf"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intechopen.com/books/hydrogenation/hydroconversion-of-triglycerides-into-green-liquid-fuels" TargetMode="External"/><Relationship Id="rId13" Type="http://schemas.openxmlformats.org/officeDocument/2006/relationships/hyperlink" Target="http://platformduurzamebiobrandstoffen.nl/wp-content/uploads/2017/07/2017_SGAB_Cost-of-Biofuels.pdf" TargetMode="External"/><Relationship Id="rId3" Type="http://schemas.openxmlformats.org/officeDocument/2006/relationships/hyperlink" Target="https://www.uop.com/wp-content/uploads/2012/12/UOP-Hydrorefining-Green-Diesel-Tech-Paper.pdf" TargetMode="External"/><Relationship Id="rId7" Type="http://schemas.openxmlformats.org/officeDocument/2006/relationships/hyperlink" Target="http://www.extension.iastate.edu/agdm/energy/xls/d1-15biodieselprofitability.xlsx" TargetMode="External"/><Relationship Id="rId12" Type="http://schemas.openxmlformats.org/officeDocument/2006/relationships/hyperlink" Target="https://www.neste.com/sites/default/files/attachments/neste_renewable_diesel_handbook.pdf" TargetMode="External"/><Relationship Id="rId2" Type="http://schemas.openxmlformats.org/officeDocument/2006/relationships/hyperlink" Target="https://www.epa.gov/sites/production/files/2017-05/documents/reg-geismar-deter-ltr-2017-04-13.pdf" TargetMode="External"/><Relationship Id="rId1" Type="http://schemas.openxmlformats.org/officeDocument/2006/relationships/hyperlink" Target="https://www.arb.ca.gov/fuels/lcfs/2a2b/apps/nes-na-tallow-rpt-011414.pdf" TargetMode="External"/><Relationship Id="rId6" Type="http://schemas.openxmlformats.org/officeDocument/2006/relationships/hyperlink" Target="https://www.eia.gov/dnav/pet/pet_pri_spt_s1_d.htm" TargetMode="External"/><Relationship Id="rId11" Type="http://schemas.openxmlformats.org/officeDocument/2006/relationships/hyperlink" Target="https://www.prnewswire.com/news-releases/diamond-green-diesel-to-be-expanded-to-275-million-gallons-annually-300248085.html" TargetMode="External"/><Relationship Id="rId5" Type="http://schemas.openxmlformats.org/officeDocument/2006/relationships/hyperlink" Target="https://www.neste.com/en/corporate-info/investors/financials" TargetMode="External"/><Relationship Id="rId10" Type="http://schemas.openxmlformats.org/officeDocument/2006/relationships/hyperlink" Target="https://doi.org/10.1016/j.seta.2014.01.008" TargetMode="External"/><Relationship Id="rId4" Type="http://schemas.openxmlformats.org/officeDocument/2006/relationships/hyperlink" Target="https://www.doi.org/10.1002/bbb.1613" TargetMode="External"/><Relationship Id="rId9" Type="http://schemas.openxmlformats.org/officeDocument/2006/relationships/hyperlink" Target="https://doi.org/10.1186/s13068-017-0945-3" TargetMode="External"/><Relationship Id="rId14"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hyperlink" Target="https://doi.org/10.1186/s13068-017-0739-7" TargetMode="External"/><Relationship Id="rId7" Type="http://schemas.openxmlformats.org/officeDocument/2006/relationships/hyperlink" Target="https://www.doi.org/10.1002/bbb.1613" TargetMode="External"/><Relationship Id="rId2" Type="http://schemas.openxmlformats.org/officeDocument/2006/relationships/hyperlink" Target="https://dspace.library.uu.nl/bitstream/handle/1874/347665/MSc%20Thesis%20K.Y%20Antonissen%2c%20May%202016%20%281%29.pdf?sequence=2&amp;isAllowed=y" TargetMode="External"/><Relationship Id="rId1" Type="http://schemas.openxmlformats.org/officeDocument/2006/relationships/hyperlink" Target="https://energy.gov/sites/prod/files/2017/07/f35/BETO_2017WTE-Workshop_BryanSherbacow-AltAir.pdf" TargetMode="External"/><Relationship Id="rId6" Type="http://schemas.openxmlformats.org/officeDocument/2006/relationships/hyperlink" Target="http://web.mit.edu/aeroastro/partner/reports/proj28/partner-proj28-2010-001.pdf" TargetMode="External"/><Relationship Id="rId5" Type="http://schemas.openxmlformats.org/officeDocument/2006/relationships/hyperlink" Target="https://doi.org/10.2516/ogst/2014007" TargetMode="External"/><Relationship Id="rId4" Type="http://schemas.openxmlformats.org/officeDocument/2006/relationships/hyperlink" Target="https://doi.org/10.1186/s13068-017-0945-3"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www.extension.iastate.edu/agdm/energy/xls/d1-10ethanolprofitability.xlsx" TargetMode="External"/><Relationship Id="rId3" Type="http://schemas.openxmlformats.org/officeDocument/2006/relationships/hyperlink" Target="http://naldc.nal.usda.gov/download/22550/PDF" TargetMode="External"/><Relationship Id="rId7" Type="http://schemas.openxmlformats.org/officeDocument/2006/relationships/hyperlink" Target="http://epure.org/media/1610/2016-industry-statistics.pdf" TargetMode="External"/><Relationship Id="rId2" Type="http://schemas.openxmlformats.org/officeDocument/2006/relationships/hyperlink" Target="http://epure.org/about-ethanol/fuel-market/fuel-blends/" TargetMode="External"/><Relationship Id="rId1" Type="http://schemas.openxmlformats.org/officeDocument/2006/relationships/hyperlink" Target="https://ens.dk/sites/ens.dk/files/Statistik/energy_statistics_2015.pdf" TargetMode="External"/><Relationship Id="rId6" Type="http://schemas.openxmlformats.org/officeDocument/2006/relationships/hyperlink" Target="http://epure.org/media/1137/state-of-the-industry-report-2014.pdf" TargetMode="External"/><Relationship Id="rId5" Type="http://schemas.openxmlformats.org/officeDocument/2006/relationships/hyperlink" Target="http://www.eia.gov/cfapps/ipdbproject/IEDIndex3.cfm?tid=79&amp;pid=79&amp;aid=1" TargetMode="External"/><Relationship Id="rId10" Type="http://schemas.openxmlformats.org/officeDocument/2006/relationships/hyperlink" Target="http://ringneckenergy.com/wp-content/uploads/2016/12/2015_PPM_w_Exhibits.pdf" TargetMode="External"/><Relationship Id="rId4" Type="http://schemas.openxmlformats.org/officeDocument/2006/relationships/hyperlink" Target="http://task39.sites.olt.ubc.ca/files/2013/05/IEA_Bioenergy_Task-39_Improving_carbon_and_energy_balance.pdf" TargetMode="External"/><Relationship Id="rId9" Type="http://schemas.openxmlformats.org/officeDocument/2006/relationships/hyperlink" Target="http://www.capjournal.com/news/ringneck-energy-pouring-cement-building-foundations-for-ethanol-plant-near/article_4ee23aac-adec-11e7-80fb-a7814e744ba7.html"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doi.org/10.1016/j.fuel.2014.11.078" TargetMode="External"/><Relationship Id="rId3" Type="http://schemas.openxmlformats.org/officeDocument/2006/relationships/hyperlink" Target="https://ec.europa.eu/energy/sites/ener/files/documents/32_dharmesh_mahajan-honeywell.pdf" TargetMode="External"/><Relationship Id="rId7" Type="http://schemas.openxmlformats.org/officeDocument/2006/relationships/hyperlink" Target="http://dx.doi.org/10.1080/17597269.2015.1118780" TargetMode="External"/><Relationship Id="rId12" Type="http://schemas.openxmlformats.org/officeDocument/2006/relationships/hyperlink" Target="http://www.etc-cte.ec.gc.ca/databases/oilproperties/pdf/web_bunker_c_fuel_oil.pdf" TargetMode="External"/><Relationship Id="rId2" Type="http://schemas.openxmlformats.org/officeDocument/2006/relationships/hyperlink" Target="https://www.btg-btl.com/en/company/projects/empyro" TargetMode="External"/><Relationship Id="rId1" Type="http://schemas.openxmlformats.org/officeDocument/2006/relationships/hyperlink" Target="http://www.gastechnology.org/tcbiomass/tcb2015/Muggen_Gerhard-Presentation-tcbiomass2015.pdf" TargetMode="External"/><Relationship Id="rId6" Type="http://schemas.openxmlformats.org/officeDocument/2006/relationships/hyperlink" Target="https://www.nrel.gov/docs/fy11osti/46586.pdf" TargetMode="External"/><Relationship Id="rId11" Type="http://schemas.openxmlformats.org/officeDocument/2006/relationships/hyperlink" Target="https://www.btg-btl.com/en/applications/oilproperties" TargetMode="External"/><Relationship Id="rId5" Type="http://schemas.openxmlformats.org/officeDocument/2006/relationships/hyperlink" Target="https://www.btg-btl.com/nieuwsbrieven/2017/november/en" TargetMode="External"/><Relationship Id="rId10" Type="http://schemas.openxmlformats.org/officeDocument/2006/relationships/hyperlink" Target="https://www.energy.gov/sites/prod/files/2016/10/f33/Graham_0.pdf" TargetMode="External"/><Relationship Id="rId4" Type="http://schemas.openxmlformats.org/officeDocument/2006/relationships/hyperlink" Target="https://doi.org/10.1016/S0146-6380(99)00120-5" TargetMode="External"/><Relationship Id="rId9" Type="http://schemas.openxmlformats.org/officeDocument/2006/relationships/hyperlink" Target="http://www.besustainablemagazine.com/cms2/empyro-bv-breaks-ground-of-its-biomass-to-liquid-pyrolysis-plant/"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platformduurzamebiobrandstoffen.nl/wp-content/uploads/2017/07/2017_SGAB_Cost-of-Biofuels.pdf" TargetMode="External"/><Relationship Id="rId3" Type="http://schemas.openxmlformats.org/officeDocument/2006/relationships/hyperlink" Target="https://doi.org/10.1016/j.energy.2014.09.042" TargetMode="External"/><Relationship Id="rId7" Type="http://schemas.openxmlformats.org/officeDocument/2006/relationships/hyperlink" Target="https://www.nrel.gov/docs/fy12osti/52636.pdf" TargetMode="External"/><Relationship Id="rId2" Type="http://schemas.openxmlformats.org/officeDocument/2006/relationships/hyperlink" Target="http://serenergy.com/wp-content/uploads/2015/11/GreenSynFuels_report_final.pdf" TargetMode="External"/><Relationship Id="rId1" Type="http://schemas.openxmlformats.org/officeDocument/2006/relationships/hyperlink" Target="https://doi.org/10.1016/j.biombioe.2014.03.063" TargetMode="External"/><Relationship Id="rId6" Type="http://schemas.openxmlformats.org/officeDocument/2006/relationships/hyperlink" Target="http://www.varmlandsmetanol.se/dokument/Folder%20VM%20sept%202016.pdf" TargetMode="External"/><Relationship Id="rId5" Type="http://schemas.openxmlformats.org/officeDocument/2006/relationships/hyperlink" Target="http://www.varmlandsmetanol.se/Om%20Projektet.htm" TargetMode="External"/><Relationship Id="rId4" Type="http://schemas.openxmlformats.org/officeDocument/2006/relationships/hyperlink" Target="http://task39.sites.olt.ubc.ca/files/2012/01/IEA-Bioenergy-Task-39-Newsletter-Issue-42-April-2016.pdf"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oi.org/10.1016/j.renene.2015.07.066" TargetMode="External"/><Relationship Id="rId13" Type="http://schemas.openxmlformats.org/officeDocument/2006/relationships/hyperlink" Target="http://carbonrecycling.is/comercial-scale/" TargetMode="External"/><Relationship Id="rId3" Type="http://schemas.openxmlformats.org/officeDocument/2006/relationships/hyperlink" Target="https://www.co2-cato.org/cato-download/4123/20170512_143353_20-11.00-Stefansson-public.pdf" TargetMode="External"/><Relationship Id="rId7" Type="http://schemas.openxmlformats.org/officeDocument/2006/relationships/hyperlink" Target="https://energy.gov/sites/prod/files/2017/06/f34/fcto_may_2017_h2_scale_wkshp_hovsapian.pdf" TargetMode="External"/><Relationship Id="rId12" Type="http://schemas.openxmlformats.org/officeDocument/2006/relationships/hyperlink" Target="http://www.enea-consulting.com/wp-content/uploads/2016/01/ENEA-Consulting-The-potential-of-power-to-gas.pdf" TargetMode="External"/><Relationship Id="rId2" Type="http://schemas.openxmlformats.org/officeDocument/2006/relationships/hyperlink" Target="https://eu-ems.com/event_images/presentations/Benedikt%20Stefansson%20presentation.pdf" TargetMode="External"/><Relationship Id="rId1" Type="http://schemas.openxmlformats.org/officeDocument/2006/relationships/hyperlink" Target="http://serenergy.com/next-generation-of-methanol-fuel-cell-vehicles-sees-the-light-of-day/" TargetMode="External"/><Relationship Id="rId6" Type="http://schemas.openxmlformats.org/officeDocument/2006/relationships/hyperlink" Target="http://www.methanol.org/the-methanol-industry/" TargetMode="External"/><Relationship Id="rId11" Type="http://schemas.openxmlformats.org/officeDocument/2006/relationships/hyperlink" Target="https://dx.doi.org/10.2790/981669" TargetMode="External"/><Relationship Id="rId5" Type="http://schemas.openxmlformats.org/officeDocument/2006/relationships/hyperlink" Target="http://dx.doi.org/10.1016/j.ijhydene.2015.12.074" TargetMode="External"/><Relationship Id="rId10" Type="http://schemas.openxmlformats.org/officeDocument/2006/relationships/hyperlink" Target="https://www.topsoe.com/processes/gasoline-synthesis/gasoline-synthesis-tigas" TargetMode="External"/><Relationship Id="rId4" Type="http://schemas.openxmlformats.org/officeDocument/2006/relationships/hyperlink" Target="http://www.mefco2.eu/pdf/MefCO2_Brochure_00.pdf" TargetMode="External"/><Relationship Id="rId9" Type="http://schemas.openxmlformats.org/officeDocument/2006/relationships/hyperlink" Target="http://serenergy.com/wp-content/uploads/2015/11/GreenSynFuels_report_final.pdf" TargetMode="External"/></Relationships>
</file>

<file path=xl/worksheets/_rels/sheet21.xml.rels><?xml version="1.0" encoding="UTF-8" standalone="yes"?>
<Relationships xmlns="http://schemas.openxmlformats.org/package/2006/relationships"><Relationship Id="rId3" Type="http://schemas.openxmlformats.org/officeDocument/2006/relationships/hyperlink" Target="https://www.di-verlag.de/media/content/gwf-GE/gwf_Gas_5_14/gwf-GE_05_2014_FB_Kurt.pdf?xaf26a=7841c984ef837209544e" TargetMode="External"/><Relationship Id="rId2" Type="http://schemas.openxmlformats.org/officeDocument/2006/relationships/hyperlink" Target="https://www.aramis.admin.ch/Default.aspx?DocumentID=45656&amp;Load=true" TargetMode="External"/><Relationship Id="rId1" Type="http://schemas.openxmlformats.org/officeDocument/2006/relationships/hyperlink" Target="https://doi.org/10.1016/j.renene.2015.07.066" TargetMode="External"/><Relationship Id="rId6" Type="http://schemas.openxmlformats.org/officeDocument/2006/relationships/hyperlink" Target="http://www.hz-inova.com/cms/en/home?p=6276" TargetMode="External"/><Relationship Id="rId5" Type="http://schemas.openxmlformats.org/officeDocument/2006/relationships/hyperlink" Target="https://www.tuwien.ac.at/fileadmin/t/tuwien/fotos/pa/download/2015/HM2015/Flyer_Power_to_Bio--Gas_EN.pdf" TargetMode="External"/><Relationship Id="rId4" Type="http://schemas.openxmlformats.org/officeDocument/2006/relationships/hyperlink" Target="https://doi.org/10.1002/wene.97" TargetMode="External"/></Relationships>
</file>

<file path=xl/worksheets/_rels/sheet22.xml.rels><?xml version="1.0" encoding="UTF-8" standalone="yes"?>
<Relationships xmlns="http://schemas.openxmlformats.org/package/2006/relationships"><Relationship Id="rId8" Type="http://schemas.openxmlformats.org/officeDocument/2006/relationships/hyperlink" Target="http://www.licella.com.au/news/licella-canfor-joint-venture-at-the-forefront-of-global-bioenergy/" TargetMode="External"/><Relationship Id="rId3" Type="http://schemas.openxmlformats.org/officeDocument/2006/relationships/hyperlink" Target="http://www.etc-cte.ec.gc.ca/databases/oilproperties/pdf/web_bunker_c_fuel_oil.pdf" TargetMode="External"/><Relationship Id="rId7" Type="http://schemas.openxmlformats.org/officeDocument/2006/relationships/hyperlink" Target="https://doi.org/10.1016/j.apenergy.2014.03.053" TargetMode="External"/><Relationship Id="rId12" Type="http://schemas.openxmlformats.org/officeDocument/2006/relationships/hyperlink" Target="https://doi.org/10.1002/bbb.1831" TargetMode="External"/><Relationship Id="rId2" Type="http://schemas.openxmlformats.org/officeDocument/2006/relationships/hyperlink" Target="https://doi.org/10.1007/s13399-017-0248-8" TargetMode="External"/><Relationship Id="rId1" Type="http://schemas.openxmlformats.org/officeDocument/2006/relationships/hyperlink" Target="http://steeperenergy.com/2017/12/15/steeper-energy-announces-eur-50-6-m-dkk-377-m-advanced-biofuel-project-with-norwegian-swedish-joint-venture-silva-green-fuel-in-licensing-deal/" TargetMode="External"/><Relationship Id="rId6" Type="http://schemas.openxmlformats.org/officeDocument/2006/relationships/hyperlink" Target="https://www.bio.org/sites/default/files/0830AM-Perry%20Toms.pdf" TargetMode="External"/><Relationship Id="rId11" Type="http://schemas.openxmlformats.org/officeDocument/2006/relationships/hyperlink" Target="https://doi.org/10.13044/j.sdewes.d5.0177" TargetMode="External"/><Relationship Id="rId5" Type="http://schemas.openxmlformats.org/officeDocument/2006/relationships/hyperlink" Target="https://doi.org/10.1007/s13399-017-0248-8" TargetMode="External"/><Relationship Id="rId10" Type="http://schemas.openxmlformats.org/officeDocument/2006/relationships/hyperlink" Target="http://www.ourenergypolicy.org/wp-content/uploads/2015/08/60462.pdf" TargetMode="External"/><Relationship Id="rId4" Type="http://schemas.openxmlformats.org/officeDocument/2006/relationships/hyperlink" Target="http://www.biofuelsdigest.com/bdigest/2017/02/02/fracking-biomass-steeper-energy-and-the-pursuit-of-renewable-hydrocarbons/" TargetMode="External"/><Relationship Id="rId9" Type="http://schemas.openxmlformats.org/officeDocument/2006/relationships/hyperlink" Target="https://doi.org/10.1016/B978-0-08-101029-7.00009-6"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5"/>
  <sheetViews>
    <sheetView tabSelected="1" workbookViewId="0">
      <selection activeCell="L16" sqref="L16"/>
    </sheetView>
  </sheetViews>
  <sheetFormatPr defaultColWidth="10.85546875" defaultRowHeight="15" x14ac:dyDescent="0.25"/>
  <cols>
    <col min="1" max="16384" width="10.85546875" style="354"/>
  </cols>
  <sheetData>
    <row r="1" spans="1:6" ht="36" customHeight="1" x14ac:dyDescent="0.35">
      <c r="A1" s="353" t="s">
        <v>706</v>
      </c>
      <c r="B1" s="353" t="s">
        <v>707</v>
      </c>
      <c r="F1" s="352" t="s">
        <v>369</v>
      </c>
    </row>
    <row r="2" spans="1:6" ht="21" customHeight="1" x14ac:dyDescent="0.25">
      <c r="A2" s="354">
        <v>2</v>
      </c>
      <c r="B2" s="355" t="s">
        <v>708</v>
      </c>
    </row>
    <row r="3" spans="1:6" x14ac:dyDescent="0.25">
      <c r="A3" s="354">
        <v>3</v>
      </c>
      <c r="B3" s="355" t="s">
        <v>710</v>
      </c>
    </row>
    <row r="4" spans="1:6" x14ac:dyDescent="0.25">
      <c r="A4" s="354">
        <v>4</v>
      </c>
      <c r="B4" s="355" t="s">
        <v>711</v>
      </c>
    </row>
    <row r="5" spans="1:6" x14ac:dyDescent="0.25">
      <c r="A5" s="354">
        <v>5</v>
      </c>
      <c r="B5" s="355" t="s">
        <v>712</v>
      </c>
    </row>
    <row r="6" spans="1:6" x14ac:dyDescent="0.25">
      <c r="A6" s="354">
        <v>6</v>
      </c>
      <c r="B6" s="355" t="s">
        <v>713</v>
      </c>
    </row>
    <row r="7" spans="1:6" x14ac:dyDescent="0.25">
      <c r="A7" s="354">
        <v>7</v>
      </c>
      <c r="B7" s="355" t="s">
        <v>714</v>
      </c>
    </row>
    <row r="8" spans="1:6" x14ac:dyDescent="0.25">
      <c r="A8" s="354">
        <v>8</v>
      </c>
      <c r="B8" s="355" t="s">
        <v>813</v>
      </c>
    </row>
    <row r="9" spans="1:6" x14ac:dyDescent="0.25">
      <c r="A9" s="354">
        <v>9</v>
      </c>
      <c r="B9" s="355" t="s">
        <v>715</v>
      </c>
    </row>
    <row r="10" spans="1:6" x14ac:dyDescent="0.25">
      <c r="A10" s="354">
        <v>10</v>
      </c>
      <c r="B10" s="355" t="s">
        <v>716</v>
      </c>
    </row>
    <row r="11" spans="1:6" x14ac:dyDescent="0.25">
      <c r="A11" s="354">
        <v>11</v>
      </c>
      <c r="B11" s="355" t="s">
        <v>717</v>
      </c>
    </row>
    <row r="12" spans="1:6" x14ac:dyDescent="0.25">
      <c r="A12" s="354">
        <v>12</v>
      </c>
      <c r="B12" s="355" t="s">
        <v>718</v>
      </c>
    </row>
    <row r="13" spans="1:6" x14ac:dyDescent="0.25">
      <c r="A13" s="354">
        <v>13</v>
      </c>
      <c r="B13" s="355" t="s">
        <v>719</v>
      </c>
    </row>
    <row r="14" spans="1:6" x14ac:dyDescent="0.25">
      <c r="A14" s="354">
        <v>14</v>
      </c>
      <c r="B14" s="355" t="s">
        <v>814</v>
      </c>
    </row>
    <row r="15" spans="1:6" x14ac:dyDescent="0.25">
      <c r="A15" s="354">
        <v>15</v>
      </c>
      <c r="B15" s="355" t="s">
        <v>720</v>
      </c>
    </row>
    <row r="16" spans="1:6" x14ac:dyDescent="0.25">
      <c r="A16" s="354">
        <v>16</v>
      </c>
      <c r="B16" s="355" t="s">
        <v>721</v>
      </c>
    </row>
    <row r="17" spans="1:2" x14ac:dyDescent="0.25">
      <c r="A17" s="354">
        <v>17</v>
      </c>
      <c r="B17" s="355" t="s">
        <v>722</v>
      </c>
    </row>
    <row r="18" spans="1:2" x14ac:dyDescent="0.25">
      <c r="A18" s="354">
        <v>18</v>
      </c>
      <c r="B18" s="355" t="s">
        <v>723</v>
      </c>
    </row>
    <row r="19" spans="1:2" x14ac:dyDescent="0.25">
      <c r="A19" s="354">
        <v>19</v>
      </c>
      <c r="B19" s="355" t="s">
        <v>724</v>
      </c>
    </row>
    <row r="20" spans="1:2" x14ac:dyDescent="0.25">
      <c r="A20" s="354">
        <v>20</v>
      </c>
      <c r="B20" s="355" t="s">
        <v>725</v>
      </c>
    </row>
    <row r="21" spans="1:2" x14ac:dyDescent="0.25">
      <c r="A21" s="354">
        <v>21</v>
      </c>
      <c r="B21" s="355" t="s">
        <v>726</v>
      </c>
    </row>
    <row r="22" spans="1:2" x14ac:dyDescent="0.25">
      <c r="A22" s="354">
        <v>22</v>
      </c>
      <c r="B22" s="355" t="s">
        <v>727</v>
      </c>
    </row>
    <row r="23" spans="1:2" x14ac:dyDescent="0.25">
      <c r="A23" s="354">
        <v>23</v>
      </c>
      <c r="B23" s="355" t="s">
        <v>806</v>
      </c>
    </row>
    <row r="24" spans="1:2" x14ac:dyDescent="0.25">
      <c r="A24" s="354">
        <v>24</v>
      </c>
      <c r="B24" s="355" t="s">
        <v>807</v>
      </c>
    </row>
    <row r="25" spans="1:2" x14ac:dyDescent="0.25">
      <c r="B25" s="355"/>
    </row>
  </sheetData>
  <hyperlinks>
    <hyperlink ref="B2" location="Start2" display="81 Biogas Plant, Basic conf."/>
    <hyperlink ref="B3" location="Start3" display="81 Biogas Plant, Add. Straw"/>
    <hyperlink ref="B4" location="Start4" display="81 Biogas Plant, Add. Org Waste"/>
    <hyperlink ref="B5" location="Start5" display="82 Biogas, upgrading"/>
    <hyperlink ref="B6" location="Start6" display="83 Gasif. Fixed Bed, Producer "/>
    <hyperlink ref="B7" location="Start7" display="84 Gasif. CFB, Bio-SNG"/>
    <hyperlink ref="B8" location="Start8" display="85 Gasif. Ent. Flow FT, liq fu "/>
    <hyperlink ref="B9" location="Start9" display="86 SOEC"/>
    <hyperlink ref="B10" location="Start10" display="87 PEM Electrolyser"/>
    <hyperlink ref="B11" location="Start11" display="88 Alkaline Electrolyser"/>
    <hyperlink ref="B12" location="Start12" display="89 Vegetable oil FAME"/>
    <hyperlink ref="B13" location="Start13" display="90 UCO &amp; animal fat FAME"/>
    <hyperlink ref="B14" location="Start14" display="91 Hydrogenated veg oil"/>
    <hyperlink ref="B15" location="Start15" display="92 HVO jet fuel"/>
    <hyperlink ref="B16" location="Start16" display="93 1st generation ethanol"/>
    <hyperlink ref="B17" location="Start17" display="94 Pyrolysis oils"/>
    <hyperlink ref="B18" location="Start18" display="95 Cellulosic ethanol"/>
    <hyperlink ref="B19" location="Start19" display="97 Methanol from biomass gasif."/>
    <hyperlink ref="B20" location="Start20" display="98 Methanol from power"/>
    <hyperlink ref="B21" location="Start21" display="99 SNG from methan. of biogas"/>
    <hyperlink ref="B22" location="Start22" display="100 Hydrothermal liquifaction"/>
    <hyperlink ref="B23" location="Start23" display="101 Catalytic Hydropyrolysis 2"/>
    <hyperlink ref="B24" location="Start24" display="101 Catalytic Hydropyrolysis 1"/>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80"/>
  <sheetViews>
    <sheetView showGridLines="0" workbookViewId="0">
      <selection activeCell="G3" sqref="G3:P3"/>
    </sheetView>
  </sheetViews>
  <sheetFormatPr defaultRowHeight="15" x14ac:dyDescent="0.25"/>
  <cols>
    <col min="1" max="1" width="4.42578125" customWidth="1"/>
    <col min="2" max="2" width="1" customWidth="1"/>
    <col min="3" max="5" width="0" hidden="1" customWidth="1"/>
    <col min="6" max="6" width="43.42578125" customWidth="1"/>
    <col min="7" max="7" width="9" customWidth="1"/>
    <col min="8" max="8" width="9.140625" customWidth="1"/>
    <col min="9" max="9" width="8.28515625" customWidth="1"/>
    <col min="10" max="13" width="8.42578125" customWidth="1"/>
    <col min="14" max="14" width="8.140625" customWidth="1"/>
    <col min="15" max="15" width="6.42578125" customWidth="1"/>
    <col min="16" max="16" width="9.85546875" customWidth="1"/>
  </cols>
  <sheetData>
    <row r="1" spans="1:16" ht="20.25" customHeight="1" x14ac:dyDescent="0.3">
      <c r="A1" s="1"/>
      <c r="F1" s="16" t="s">
        <v>21</v>
      </c>
      <c r="G1" s="564" t="s">
        <v>85</v>
      </c>
      <c r="H1" s="565"/>
      <c r="I1" s="566"/>
      <c r="J1" s="566"/>
      <c r="K1" s="566"/>
      <c r="L1" s="566"/>
      <c r="M1" s="566"/>
      <c r="N1" s="566"/>
      <c r="O1" s="566"/>
      <c r="P1" s="5"/>
    </row>
    <row r="2" spans="1:16" x14ac:dyDescent="0.25">
      <c r="A2" s="1"/>
      <c r="F2" s="10"/>
      <c r="G2" s="10"/>
      <c r="H2" s="10"/>
      <c r="I2" s="10"/>
      <c r="J2" s="10"/>
      <c r="K2" s="10"/>
      <c r="L2" s="10"/>
    </row>
    <row r="3" spans="1:16" ht="15" customHeight="1" x14ac:dyDescent="0.25">
      <c r="A3" s="1"/>
      <c r="F3" s="101" t="s">
        <v>20</v>
      </c>
      <c r="G3" s="567" t="s">
        <v>85</v>
      </c>
      <c r="H3" s="568"/>
      <c r="I3" s="568"/>
      <c r="J3" s="568"/>
      <c r="K3" s="568"/>
      <c r="L3" s="568"/>
      <c r="M3" s="568"/>
      <c r="N3" s="568"/>
      <c r="O3" s="568"/>
      <c r="P3" s="569"/>
    </row>
    <row r="4" spans="1:16" ht="27" customHeight="1" x14ac:dyDescent="0.25">
      <c r="A4" s="1"/>
      <c r="F4" s="102"/>
      <c r="G4" s="103">
        <v>2015</v>
      </c>
      <c r="H4" s="103">
        <v>2020</v>
      </c>
      <c r="I4" s="103">
        <v>2030</v>
      </c>
      <c r="J4" s="103">
        <v>2050</v>
      </c>
      <c r="K4" s="567" t="s">
        <v>26</v>
      </c>
      <c r="L4" s="570"/>
      <c r="M4" s="567" t="s">
        <v>25</v>
      </c>
      <c r="N4" s="570"/>
      <c r="O4" s="103" t="s">
        <v>19</v>
      </c>
      <c r="P4" s="103" t="s">
        <v>18</v>
      </c>
    </row>
    <row r="5" spans="1:16" x14ac:dyDescent="0.25">
      <c r="A5" s="1"/>
      <c r="F5" s="104" t="s">
        <v>15</v>
      </c>
      <c r="G5" s="105"/>
      <c r="H5" s="105"/>
      <c r="I5" s="105"/>
      <c r="J5" s="105"/>
      <c r="K5" s="105" t="s">
        <v>17</v>
      </c>
      <c r="L5" s="105" t="s">
        <v>16</v>
      </c>
      <c r="M5" s="105" t="s">
        <v>17</v>
      </c>
      <c r="N5" s="105" t="s">
        <v>16</v>
      </c>
      <c r="O5" s="105"/>
      <c r="P5" s="106"/>
    </row>
    <row r="6" spans="1:16" x14ac:dyDescent="0.25">
      <c r="A6" s="1"/>
      <c r="F6" s="107" t="s">
        <v>143</v>
      </c>
      <c r="K6" s="108"/>
      <c r="L6" s="108"/>
      <c r="M6" s="108"/>
      <c r="N6" s="108"/>
    </row>
    <row r="7" spans="1:16" x14ac:dyDescent="0.25">
      <c r="A7" s="1"/>
      <c r="F7" s="109" t="s">
        <v>86</v>
      </c>
      <c r="G7" s="110">
        <v>9.2417432910061201</v>
      </c>
      <c r="H7" s="110">
        <v>8.6829269484640879</v>
      </c>
      <c r="I7" s="110">
        <v>8.6829269484640879</v>
      </c>
      <c r="J7" s="110">
        <v>8.6829269484640879</v>
      </c>
      <c r="K7" s="110">
        <v>8.3175689619055078</v>
      </c>
      <c r="L7" s="110">
        <v>9.5512196433104979</v>
      </c>
      <c r="M7" s="110">
        <v>8.3175689619055078</v>
      </c>
      <c r="N7" s="110">
        <v>9.5512196433104979</v>
      </c>
      <c r="O7" s="111" t="s">
        <v>5</v>
      </c>
      <c r="P7" s="112"/>
    </row>
    <row r="8" spans="1:16" x14ac:dyDescent="0.25">
      <c r="A8" s="1"/>
      <c r="F8" s="113"/>
      <c r="G8" s="113"/>
      <c r="H8" s="113"/>
      <c r="I8" s="111"/>
      <c r="J8" s="111"/>
      <c r="K8" s="111"/>
      <c r="L8" s="111"/>
      <c r="M8" s="111"/>
      <c r="N8" s="111"/>
      <c r="O8" s="111"/>
      <c r="P8" s="111"/>
    </row>
    <row r="9" spans="1:16" x14ac:dyDescent="0.25">
      <c r="A9" s="1"/>
      <c r="F9" s="114" t="s">
        <v>87</v>
      </c>
      <c r="G9" s="111"/>
      <c r="H9" s="111"/>
      <c r="I9" s="111"/>
      <c r="J9" s="111"/>
      <c r="K9" s="111"/>
      <c r="L9" s="111"/>
      <c r="M9" s="111"/>
      <c r="N9" s="111"/>
      <c r="O9" s="111"/>
      <c r="P9" s="111"/>
    </row>
    <row r="10" spans="1:16" x14ac:dyDescent="0.25">
      <c r="A10" s="1"/>
      <c r="F10" s="115" t="s">
        <v>88</v>
      </c>
      <c r="G10" s="554">
        <v>365000</v>
      </c>
      <c r="H10" s="554">
        <v>365000</v>
      </c>
      <c r="I10" s="554">
        <v>365000</v>
      </c>
      <c r="J10" s="554">
        <v>365000</v>
      </c>
      <c r="K10" s="554">
        <v>365000</v>
      </c>
      <c r="L10" s="554">
        <v>365000</v>
      </c>
      <c r="M10" s="554">
        <v>365000</v>
      </c>
      <c r="N10" s="554">
        <v>365000</v>
      </c>
      <c r="O10" s="111" t="s">
        <v>89</v>
      </c>
      <c r="P10" s="112" t="s">
        <v>90</v>
      </c>
    </row>
    <row r="11" spans="1:16" x14ac:dyDescent="0.25">
      <c r="A11" s="1"/>
      <c r="F11" s="116" t="s">
        <v>91</v>
      </c>
      <c r="G11" s="110">
        <v>3.6969498399920031</v>
      </c>
      <c r="H11" s="110">
        <v>3.8195864970641451</v>
      </c>
      <c r="I11" s="110">
        <v>3.8195864970641451</v>
      </c>
      <c r="J11" s="110">
        <v>3.8195864970641451</v>
      </c>
      <c r="K11" s="110">
        <v>1.9194756290809074</v>
      </c>
      <c r="L11" s="110">
        <v>6.7181647017831763</v>
      </c>
      <c r="M11" s="110">
        <v>1.9194756290809074</v>
      </c>
      <c r="N11" s="110">
        <v>6.7181647017831763</v>
      </c>
      <c r="O11" s="117" t="s">
        <v>5</v>
      </c>
      <c r="P11" s="112" t="s">
        <v>90</v>
      </c>
    </row>
    <row r="12" spans="1:16" x14ac:dyDescent="0.25">
      <c r="A12" s="1"/>
      <c r="F12" s="552" t="s">
        <v>92</v>
      </c>
      <c r="G12" s="110">
        <v>8.1999027314237374</v>
      </c>
      <c r="H12" s="110">
        <v>7.9596457265634744</v>
      </c>
      <c r="I12" s="110">
        <v>7.9596457265634744</v>
      </c>
      <c r="J12" s="110">
        <v>7.9596457265634744</v>
      </c>
      <c r="K12" s="110">
        <f>K11*G12/G11</f>
        <v>4.257432244153974</v>
      </c>
      <c r="L12" s="110">
        <f t="shared" ref="L12:N12" si="0">L11*H12/H11</f>
        <v>14</v>
      </c>
      <c r="M12" s="110">
        <f t="shared" si="0"/>
        <v>4</v>
      </c>
      <c r="N12" s="110">
        <f t="shared" si="0"/>
        <v>14</v>
      </c>
      <c r="O12" s="117"/>
      <c r="P12" s="112"/>
    </row>
    <row r="13" spans="1:16" x14ac:dyDescent="0.25">
      <c r="A13" s="1"/>
      <c r="F13" s="113" t="s">
        <v>93</v>
      </c>
      <c r="G13" s="110">
        <v>8.3858637444973674</v>
      </c>
      <c r="H13" s="110">
        <v>8.9255616752262199</v>
      </c>
      <c r="I13" s="110">
        <v>8.9255616752262199</v>
      </c>
      <c r="J13" s="110">
        <v>8.9255616752262199</v>
      </c>
      <c r="K13" s="110">
        <v>7.1980336090534029</v>
      </c>
      <c r="L13" s="110">
        <v>11.996722681755671</v>
      </c>
      <c r="M13" s="110">
        <v>7.1980336090534029</v>
      </c>
      <c r="N13" s="110">
        <v>11.996722681755671</v>
      </c>
      <c r="O13" s="119" t="s">
        <v>5</v>
      </c>
      <c r="P13" s="112" t="s">
        <v>90</v>
      </c>
    </row>
    <row r="14" spans="1:16" x14ac:dyDescent="0.25">
      <c r="A14" s="1"/>
      <c r="F14" s="553" t="s">
        <v>94</v>
      </c>
      <c r="G14" s="110">
        <v>18.600000000000001</v>
      </c>
      <c r="H14" s="110">
        <v>18.600000000000001</v>
      </c>
      <c r="I14" s="110">
        <v>18.600000000000001</v>
      </c>
      <c r="J14" s="110">
        <v>18.600000000000001</v>
      </c>
      <c r="K14" s="110">
        <f t="shared" ref="K14:N14" si="1">K13*G14/G13</f>
        <v>15.965370915577404</v>
      </c>
      <c r="L14" s="110">
        <f t="shared" si="1"/>
        <v>25</v>
      </c>
      <c r="M14" s="110">
        <f t="shared" si="1"/>
        <v>15</v>
      </c>
      <c r="N14" s="110">
        <f t="shared" si="1"/>
        <v>25</v>
      </c>
      <c r="O14" s="119"/>
      <c r="P14" s="113"/>
    </row>
    <row r="15" spans="1:16" x14ac:dyDescent="0.25">
      <c r="A15" s="1"/>
      <c r="F15" s="115"/>
      <c r="G15" s="180"/>
      <c r="H15" s="180"/>
      <c r="I15" s="180"/>
      <c r="J15" s="180"/>
      <c r="K15" s="120"/>
      <c r="L15" s="120"/>
      <c r="M15" s="117"/>
      <c r="N15" s="117"/>
      <c r="O15" s="117"/>
      <c r="P15" s="117"/>
    </row>
    <row r="16" spans="1:16" x14ac:dyDescent="0.25">
      <c r="A16" s="1"/>
      <c r="F16" s="121" t="s">
        <v>95</v>
      </c>
      <c r="G16" s="555"/>
      <c r="H16" s="555"/>
      <c r="I16" s="556"/>
      <c r="J16" s="556"/>
      <c r="K16" s="117"/>
      <c r="L16" s="117"/>
      <c r="M16" s="117"/>
      <c r="N16" s="117"/>
      <c r="O16" s="117"/>
      <c r="P16" s="124"/>
    </row>
    <row r="17" spans="1:16" x14ac:dyDescent="0.25">
      <c r="A17" s="1"/>
      <c r="F17" s="125" t="s">
        <v>96</v>
      </c>
      <c r="G17" s="558">
        <v>100</v>
      </c>
      <c r="H17" s="558">
        <v>100</v>
      </c>
      <c r="I17" s="558">
        <v>100</v>
      </c>
      <c r="J17" s="559">
        <v>100</v>
      </c>
      <c r="K17" s="559">
        <v>95.792225493464429</v>
      </c>
      <c r="L17" s="559">
        <v>110.00000000000001</v>
      </c>
      <c r="M17" s="559">
        <v>95.792225493464429</v>
      </c>
      <c r="N17" s="558">
        <v>110.00000000000001</v>
      </c>
      <c r="O17" s="117" t="s">
        <v>0</v>
      </c>
      <c r="P17" s="127"/>
    </row>
    <row r="18" spans="1:16" x14ac:dyDescent="0.25">
      <c r="A18" s="1"/>
      <c r="F18" s="115" t="s">
        <v>97</v>
      </c>
      <c r="G18" s="128">
        <v>0.79848662034292872</v>
      </c>
      <c r="H18" s="128">
        <v>0.75020488834729715</v>
      </c>
      <c r="I18" s="128">
        <v>0.75020488834729715</v>
      </c>
      <c r="J18" s="128">
        <v>0.75020488834729715</v>
      </c>
      <c r="K18" s="128">
        <v>0.71863795830863586</v>
      </c>
      <c r="L18" s="128">
        <v>0.82522537718202693</v>
      </c>
      <c r="M18" s="128">
        <v>0.71863795830863586</v>
      </c>
      <c r="N18" s="128">
        <v>0.82522537718202693</v>
      </c>
      <c r="O18" s="117" t="s">
        <v>41</v>
      </c>
      <c r="P18" s="112" t="s">
        <v>98</v>
      </c>
    </row>
    <row r="19" spans="1:16" x14ac:dyDescent="0.25">
      <c r="A19" s="1"/>
      <c r="F19" s="115" t="s">
        <v>144</v>
      </c>
      <c r="G19" s="119"/>
      <c r="H19" s="119"/>
      <c r="I19" s="119"/>
      <c r="J19" s="119"/>
      <c r="K19" s="119"/>
      <c r="L19" s="119"/>
      <c r="M19" s="119"/>
      <c r="N19" s="119"/>
      <c r="O19" s="117" t="s">
        <v>99</v>
      </c>
      <c r="P19" s="124"/>
    </row>
    <row r="20" spans="1:16" x14ac:dyDescent="0.25">
      <c r="A20" s="1"/>
      <c r="F20" s="115"/>
      <c r="G20" s="119"/>
      <c r="H20" s="119"/>
      <c r="I20" s="119"/>
      <c r="J20" s="119"/>
      <c r="K20" s="119"/>
      <c r="L20" s="119"/>
      <c r="M20" s="119"/>
      <c r="N20" s="119"/>
      <c r="O20" s="117"/>
      <c r="P20" s="124"/>
    </row>
    <row r="21" spans="1:16" x14ac:dyDescent="0.25">
      <c r="A21" s="1"/>
      <c r="F21" s="115" t="s">
        <v>100</v>
      </c>
      <c r="G21" s="117">
        <v>0</v>
      </c>
      <c r="H21" s="117">
        <v>0</v>
      </c>
      <c r="I21" s="129">
        <v>0</v>
      </c>
      <c r="J21" s="130">
        <v>0</v>
      </c>
      <c r="K21" s="117"/>
      <c r="L21" s="117"/>
      <c r="M21" s="117"/>
      <c r="N21" s="117"/>
      <c r="O21" s="117"/>
      <c r="P21" s="124"/>
    </row>
    <row r="22" spans="1:16" x14ac:dyDescent="0.25">
      <c r="A22" s="1"/>
      <c r="F22" s="115" t="s">
        <v>101</v>
      </c>
      <c r="G22" s="117">
        <v>10</v>
      </c>
      <c r="H22" s="117">
        <v>10</v>
      </c>
      <c r="I22" s="129">
        <v>10</v>
      </c>
      <c r="J22" s="130">
        <v>10</v>
      </c>
      <c r="K22" s="117"/>
      <c r="L22" s="117"/>
      <c r="M22" s="117"/>
      <c r="N22" s="117"/>
      <c r="O22" s="117"/>
      <c r="P22" s="117"/>
    </row>
    <row r="23" spans="1:16" x14ac:dyDescent="0.25">
      <c r="A23" s="1"/>
      <c r="F23" s="109" t="s">
        <v>14</v>
      </c>
      <c r="G23" s="117">
        <v>20</v>
      </c>
      <c r="H23" s="117">
        <v>20</v>
      </c>
      <c r="I23" s="129">
        <v>20</v>
      </c>
      <c r="J23" s="130">
        <v>20</v>
      </c>
      <c r="K23" s="111"/>
      <c r="L23" s="111"/>
      <c r="M23" s="111"/>
      <c r="N23" s="111"/>
      <c r="O23" s="111"/>
      <c r="P23" s="111"/>
    </row>
    <row r="24" spans="1:16" x14ac:dyDescent="0.25">
      <c r="A24" s="1"/>
      <c r="F24" s="109" t="s">
        <v>12</v>
      </c>
      <c r="G24" s="117">
        <v>1</v>
      </c>
      <c r="H24" s="117">
        <v>1</v>
      </c>
      <c r="I24" s="129">
        <v>1</v>
      </c>
      <c r="J24" s="130">
        <v>1</v>
      </c>
      <c r="K24" s="111"/>
      <c r="L24" s="111"/>
      <c r="M24" s="111"/>
      <c r="N24" s="111"/>
      <c r="O24" s="111"/>
      <c r="P24" s="111"/>
    </row>
    <row r="25" spans="1:16" x14ac:dyDescent="0.25">
      <c r="A25" s="1"/>
      <c r="F25" s="109"/>
      <c r="G25" s="111"/>
      <c r="H25" s="111"/>
      <c r="I25" s="111"/>
      <c r="J25" s="111"/>
      <c r="K25" s="111"/>
      <c r="L25" s="111"/>
      <c r="M25" s="111"/>
      <c r="N25" s="111"/>
      <c r="O25" s="111"/>
      <c r="P25" s="111"/>
    </row>
    <row r="26" spans="1:16" x14ac:dyDescent="0.25">
      <c r="A26" s="1"/>
      <c r="F26" s="101" t="s">
        <v>9</v>
      </c>
      <c r="G26" s="504"/>
      <c r="H26" s="504"/>
      <c r="I26" s="504"/>
      <c r="J26" s="504"/>
      <c r="K26" s="504"/>
      <c r="L26" s="504"/>
      <c r="M26" s="504"/>
      <c r="N26" s="504"/>
      <c r="O26" s="131"/>
      <c r="P26" s="101"/>
    </row>
    <row r="27" spans="1:16" x14ac:dyDescent="0.25">
      <c r="A27" s="1"/>
      <c r="F27" s="109" t="s">
        <v>102</v>
      </c>
      <c r="G27" s="132">
        <v>1.8141415733691493</v>
      </c>
      <c r="H27" s="132">
        <v>1.7106920331911744</v>
      </c>
      <c r="I27" s="132">
        <v>1.5396228298720569</v>
      </c>
      <c r="J27" s="132">
        <v>1.3856605468848513</v>
      </c>
      <c r="K27" s="132">
        <v>1.5396228298720569</v>
      </c>
      <c r="L27" s="132">
        <v>1.9007689257679714</v>
      </c>
      <c r="M27" s="132">
        <v>1.2470944921963663</v>
      </c>
      <c r="N27" s="132">
        <v>1.5396228298720569</v>
      </c>
      <c r="O27" s="111" t="s">
        <v>103</v>
      </c>
      <c r="P27" s="133" t="s">
        <v>104</v>
      </c>
    </row>
    <row r="28" spans="1:16" x14ac:dyDescent="0.25">
      <c r="A28" s="1"/>
      <c r="F28" s="115" t="s">
        <v>8</v>
      </c>
      <c r="G28" s="134" t="s">
        <v>29</v>
      </c>
      <c r="H28" s="134" t="s">
        <v>29</v>
      </c>
      <c r="I28" s="111"/>
      <c r="J28" s="111"/>
      <c r="K28" s="111"/>
      <c r="L28" s="111"/>
      <c r="M28" s="111"/>
      <c r="N28" s="111"/>
      <c r="O28" s="111"/>
      <c r="P28" s="111"/>
    </row>
    <row r="29" spans="1:16" x14ac:dyDescent="0.25">
      <c r="A29" s="1"/>
      <c r="F29" s="109" t="s">
        <v>7</v>
      </c>
      <c r="G29" s="134" t="s">
        <v>29</v>
      </c>
      <c r="H29" s="134" t="s">
        <v>29</v>
      </c>
      <c r="I29" s="111"/>
      <c r="J29" s="111"/>
      <c r="K29" s="111"/>
      <c r="L29" s="111"/>
      <c r="M29" s="111"/>
      <c r="N29" s="111"/>
      <c r="O29" s="111"/>
      <c r="P29" s="111"/>
    </row>
    <row r="30" spans="1:16" x14ac:dyDescent="0.25">
      <c r="A30" s="1"/>
      <c r="F30" s="109" t="s">
        <v>105</v>
      </c>
      <c r="G30" s="135">
        <f>G31*$G$10/G7</f>
        <v>198785.17939696187</v>
      </c>
      <c r="H30" s="135">
        <f t="shared" ref="H30:N30" si="2">H31*$G$10/H7</f>
        <v>194715.0214064848</v>
      </c>
      <c r="I30" s="135">
        <f t="shared" si="2"/>
        <v>197702.43921954936</v>
      </c>
      <c r="J30" s="135">
        <f t="shared" si="2"/>
        <v>195722.30695110411</v>
      </c>
      <c r="K30" s="135">
        <f t="shared" si="2"/>
        <v>154397.58718954289</v>
      </c>
      <c r="L30" s="135">
        <f t="shared" si="2"/>
        <v>245575.03674852804</v>
      </c>
      <c r="M30" s="135">
        <f t="shared" si="2"/>
        <v>150000.99028005442</v>
      </c>
      <c r="N30" s="135">
        <f t="shared" si="2"/>
        <v>252438.88699442198</v>
      </c>
      <c r="O30" s="111"/>
      <c r="P30" s="111"/>
    </row>
    <row r="31" spans="1:16" x14ac:dyDescent="0.25">
      <c r="A31" s="1"/>
      <c r="F31" s="102" t="s">
        <v>106</v>
      </c>
      <c r="G31" s="136">
        <f>SUM(G32:G34)</f>
        <v>5.0332098576529329</v>
      </c>
      <c r="H31" s="136">
        <f t="shared" ref="H31:N31" si="3">SUM(H32:H34)</f>
        <v>4.6320446757291194</v>
      </c>
      <c r="I31" s="136">
        <f t="shared" si="3"/>
        <v>4.7031118829493384</v>
      </c>
      <c r="J31" s="136">
        <f t="shared" si="3"/>
        <v>4.6560068313460325</v>
      </c>
      <c r="K31" s="137">
        <f t="shared" si="3"/>
        <v>3.5183906273995653</v>
      </c>
      <c r="L31" s="137">
        <f t="shared" si="3"/>
        <v>6.4261400408198313</v>
      </c>
      <c r="M31" s="137">
        <f t="shared" si="3"/>
        <v>3.4182015918040287</v>
      </c>
      <c r="N31" s="137">
        <f t="shared" si="3"/>
        <v>6.6057513868398958</v>
      </c>
      <c r="O31" s="111" t="s">
        <v>107</v>
      </c>
      <c r="P31" s="138" t="s">
        <v>108</v>
      </c>
    </row>
    <row r="32" spans="1:16" x14ac:dyDescent="0.25">
      <c r="A32" s="1"/>
      <c r="F32" s="139" t="s">
        <v>109</v>
      </c>
      <c r="G32" s="136">
        <v>4.1066159855732369</v>
      </c>
      <c r="H32" s="136">
        <v>3.6728291205962398</v>
      </c>
      <c r="I32" s="136">
        <v>3.4891876645664275</v>
      </c>
      <c r="J32" s="136">
        <v>3.3147282813381058</v>
      </c>
      <c r="K32" s="137">
        <v>2.8146278025529408</v>
      </c>
      <c r="L32" s="137">
        <v>5.0501400408198309</v>
      </c>
      <c r="M32" s="137">
        <v>2.5402015918040286</v>
      </c>
      <c r="N32" s="137">
        <v>4.5577513868398958</v>
      </c>
      <c r="O32" s="111" t="s">
        <v>107</v>
      </c>
      <c r="P32" s="138" t="s">
        <v>108</v>
      </c>
    </row>
    <row r="33" spans="1:16" x14ac:dyDescent="0.25">
      <c r="A33" s="1"/>
      <c r="F33" s="139" t="s">
        <v>110</v>
      </c>
      <c r="G33" s="136">
        <f>G12*0.063</f>
        <v>0.51659387207969543</v>
      </c>
      <c r="H33" s="136">
        <f>H12*0.069</f>
        <v>0.54921555513287978</v>
      </c>
      <c r="I33" s="136">
        <f>I12*0.101</f>
        <v>0.80392421838291095</v>
      </c>
      <c r="J33" s="136">
        <f>J12*0.117</f>
        <v>0.93127855000792659</v>
      </c>
      <c r="K33" s="136">
        <f>K12*0.069</f>
        <v>0.29376282484662425</v>
      </c>
      <c r="L33" s="136">
        <f>L12*0.069</f>
        <v>0.96600000000000008</v>
      </c>
      <c r="M33" s="136">
        <f>M12*0.117</f>
        <v>0.46800000000000003</v>
      </c>
      <c r="N33" s="136">
        <f>N12*0.117</f>
        <v>1.6380000000000001</v>
      </c>
      <c r="O33" s="111" t="s">
        <v>111</v>
      </c>
      <c r="P33" s="140"/>
    </row>
    <row r="34" spans="1:16" x14ac:dyDescent="0.25">
      <c r="A34" s="1"/>
      <c r="F34" s="139" t="s">
        <v>112</v>
      </c>
      <c r="G34" s="136">
        <v>0.41</v>
      </c>
      <c r="H34" s="136">
        <v>0.41</v>
      </c>
      <c r="I34" s="136">
        <v>0.41</v>
      </c>
      <c r="J34" s="136">
        <v>0.41</v>
      </c>
      <c r="K34" s="136">
        <v>0.41</v>
      </c>
      <c r="L34" s="136">
        <v>0.41</v>
      </c>
      <c r="M34" s="136">
        <v>0.41</v>
      </c>
      <c r="N34" s="136">
        <v>0.41</v>
      </c>
      <c r="O34" s="111"/>
      <c r="P34" s="140"/>
    </row>
    <row r="35" spans="1:16" x14ac:dyDescent="0.25">
      <c r="A35" s="1"/>
      <c r="F35" s="102"/>
      <c r="G35" s="135"/>
      <c r="H35" s="135"/>
      <c r="I35" s="135"/>
      <c r="J35" s="135"/>
      <c r="K35" s="135"/>
      <c r="L35" s="135"/>
      <c r="M35" s="135"/>
      <c r="N35" s="135"/>
      <c r="O35" s="111"/>
      <c r="P35" s="140"/>
    </row>
    <row r="36" spans="1:16" x14ac:dyDescent="0.25">
      <c r="A36" s="1"/>
      <c r="F36" s="141" t="s">
        <v>113</v>
      </c>
      <c r="G36" s="142"/>
      <c r="H36" s="142"/>
      <c r="I36" s="142"/>
      <c r="J36" s="142"/>
      <c r="K36" s="557"/>
      <c r="L36" s="557"/>
      <c r="M36" s="119"/>
      <c r="N36" s="119"/>
      <c r="O36" s="119"/>
      <c r="P36" s="144"/>
    </row>
    <row r="37" spans="1:16" x14ac:dyDescent="0.25">
      <c r="A37" s="1"/>
      <c r="F37" s="145" t="s">
        <v>114</v>
      </c>
      <c r="G37" s="136">
        <v>0.44</v>
      </c>
      <c r="H37" s="136">
        <v>0.42</v>
      </c>
      <c r="I37" s="136">
        <v>0.42</v>
      </c>
      <c r="J37" s="136">
        <v>0.42</v>
      </c>
      <c r="K37" s="146">
        <v>0.17</v>
      </c>
      <c r="L37" s="146">
        <v>0.88</v>
      </c>
      <c r="M37" s="146">
        <v>0.17</v>
      </c>
      <c r="N37" s="146">
        <v>0.88</v>
      </c>
      <c r="O37" s="119" t="s">
        <v>99</v>
      </c>
      <c r="P37" s="144" t="s">
        <v>115</v>
      </c>
    </row>
    <row r="38" spans="1:16" hidden="1" x14ac:dyDescent="0.25">
      <c r="A38" s="1"/>
      <c r="B38" s="163"/>
      <c r="C38" s="163"/>
      <c r="D38" s="163"/>
      <c r="E38" s="163"/>
      <c r="F38" s="164"/>
      <c r="G38" s="165"/>
      <c r="H38" s="165"/>
      <c r="I38" s="166"/>
      <c r="J38" s="166"/>
      <c r="K38" s="111"/>
      <c r="L38" s="111"/>
      <c r="M38" s="111"/>
      <c r="N38" s="111"/>
      <c r="O38" s="111"/>
      <c r="P38" s="144"/>
    </row>
    <row r="39" spans="1:16" hidden="1" x14ac:dyDescent="0.25">
      <c r="A39" s="1"/>
      <c r="F39" s="164"/>
      <c r="G39" s="165"/>
      <c r="H39" s="165"/>
      <c r="I39" s="165"/>
      <c r="J39" s="165"/>
      <c r="K39" s="146"/>
      <c r="L39" s="146"/>
      <c r="M39" s="113"/>
      <c r="N39" s="113"/>
      <c r="O39" s="119"/>
      <c r="P39" s="144"/>
    </row>
    <row r="40" spans="1:16" ht="39" hidden="1" customHeight="1" x14ac:dyDescent="0.25">
      <c r="A40" s="1"/>
      <c r="F40" s="167"/>
      <c r="G40" s="165"/>
      <c r="H40" s="165"/>
      <c r="I40" s="165"/>
      <c r="J40" s="165"/>
      <c r="K40" s="143"/>
      <c r="L40" s="143"/>
      <c r="M40" s="113"/>
      <c r="N40" s="113"/>
      <c r="O40" s="119"/>
      <c r="P40" s="144"/>
    </row>
    <row r="41" spans="1:16" ht="15" hidden="1" customHeight="1" x14ac:dyDescent="0.25">
      <c r="A41" s="1"/>
      <c r="F41" s="164"/>
      <c r="G41" s="165"/>
      <c r="H41" s="165"/>
      <c r="I41" s="165"/>
      <c r="J41" s="165"/>
      <c r="K41" s="146"/>
      <c r="L41" s="146"/>
      <c r="M41" s="146"/>
      <c r="N41" s="146"/>
      <c r="O41" s="119"/>
      <c r="P41" s="144"/>
    </row>
    <row r="42" spans="1:16" ht="15" hidden="1" customHeight="1" x14ac:dyDescent="0.25">
      <c r="A42" s="1"/>
      <c r="F42" s="145"/>
      <c r="G42" s="111"/>
      <c r="H42" s="105"/>
      <c r="I42" s="105"/>
      <c r="J42" s="105"/>
      <c r="K42" s="105"/>
      <c r="L42" s="105"/>
      <c r="M42" s="168"/>
      <c r="N42" s="168"/>
      <c r="O42" s="105"/>
      <c r="P42" s="169"/>
    </row>
    <row r="43" spans="1:16" ht="25.5" hidden="1" customHeight="1" x14ac:dyDescent="0.25">
      <c r="A43" s="1"/>
      <c r="F43" s="145"/>
      <c r="G43" s="111"/>
      <c r="H43" s="111"/>
      <c r="I43" s="111"/>
      <c r="J43" s="111"/>
      <c r="K43" s="111"/>
      <c r="L43" s="111"/>
      <c r="M43" s="170"/>
      <c r="N43" s="170"/>
      <c r="O43" s="111"/>
      <c r="P43" s="169"/>
    </row>
    <row r="44" spans="1:16" hidden="1" x14ac:dyDescent="0.25">
      <c r="A44" s="1"/>
      <c r="F44" s="145"/>
      <c r="G44" s="111"/>
      <c r="H44" s="111"/>
      <c r="I44" s="111"/>
      <c r="J44" s="111"/>
      <c r="K44" s="111"/>
      <c r="L44" s="111"/>
      <c r="M44" s="170"/>
      <c r="N44" s="170"/>
      <c r="O44" s="170"/>
      <c r="P44" s="111"/>
    </row>
    <row r="45" spans="1:16" hidden="1" x14ac:dyDescent="0.25">
      <c r="A45" s="1"/>
      <c r="F45" s="145"/>
      <c r="G45" s="111"/>
      <c r="H45" s="111"/>
      <c r="I45" s="111"/>
      <c r="J45" s="111"/>
      <c r="K45" s="111"/>
      <c r="L45" s="111"/>
      <c r="M45" s="171"/>
      <c r="N45" s="171"/>
      <c r="O45" s="170"/>
      <c r="P45" s="111"/>
    </row>
    <row r="46" spans="1:16" hidden="1" x14ac:dyDescent="0.25">
      <c r="A46" s="1"/>
      <c r="F46" s="145"/>
      <c r="G46" s="111"/>
      <c r="H46" s="111"/>
      <c r="I46" s="111"/>
      <c r="J46" s="111"/>
      <c r="K46" s="111"/>
      <c r="L46" s="111"/>
      <c r="M46" s="172"/>
      <c r="N46" s="172"/>
      <c r="O46" s="170"/>
      <c r="P46" s="111"/>
    </row>
    <row r="47" spans="1:16" hidden="1" x14ac:dyDescent="0.25">
      <c r="A47" s="1"/>
    </row>
    <row r="48" spans="1:16" hidden="1" x14ac:dyDescent="0.25">
      <c r="A48" s="6"/>
      <c r="B48" s="173"/>
      <c r="C48" s="99"/>
      <c r="D48" s="99"/>
      <c r="E48" s="99"/>
      <c r="F48" s="99"/>
      <c r="G48" s="99"/>
      <c r="H48" s="99"/>
      <c r="I48" s="99"/>
      <c r="J48" s="99"/>
      <c r="K48" s="99"/>
      <c r="L48" s="99"/>
    </row>
    <row r="49" spans="1:16" hidden="1" x14ac:dyDescent="0.25">
      <c r="A49" s="147"/>
      <c r="B49" s="100"/>
      <c r="C49" s="100"/>
      <c r="D49" s="100"/>
      <c r="E49" s="100"/>
      <c r="F49" s="562"/>
      <c r="G49" s="562"/>
      <c r="H49" s="562"/>
      <c r="I49" s="562"/>
      <c r="J49" s="562"/>
      <c r="K49" s="562"/>
      <c r="L49" s="562"/>
      <c r="M49" s="562"/>
      <c r="N49" s="562"/>
      <c r="O49" s="562"/>
      <c r="P49" s="562"/>
    </row>
    <row r="50" spans="1:16" hidden="1" x14ac:dyDescent="0.25">
      <c r="A50" s="147"/>
      <c r="B50" s="562"/>
      <c r="C50" s="563"/>
      <c r="D50" s="563"/>
      <c r="E50" s="563"/>
      <c r="F50" s="563"/>
      <c r="G50" s="563"/>
      <c r="H50" s="563"/>
      <c r="I50" s="563"/>
      <c r="J50" s="563"/>
      <c r="K50" s="563"/>
      <c r="L50" s="563"/>
      <c r="M50" s="10"/>
      <c r="N50" s="10"/>
      <c r="O50" s="10"/>
      <c r="P50" s="10"/>
    </row>
    <row r="51" spans="1:16" hidden="1" x14ac:dyDescent="0.25">
      <c r="A51" s="147"/>
      <c r="B51" s="562"/>
      <c r="C51" s="563"/>
      <c r="D51" s="563"/>
      <c r="E51" s="563"/>
      <c r="F51" s="563"/>
      <c r="G51" s="563"/>
      <c r="H51" s="563"/>
      <c r="I51" s="563"/>
      <c r="J51" s="563"/>
      <c r="K51" s="563"/>
      <c r="L51" s="563"/>
      <c r="M51" s="10"/>
      <c r="N51" s="10"/>
      <c r="O51" s="10"/>
      <c r="P51" s="10"/>
    </row>
    <row r="52" spans="1:16" hidden="1" x14ac:dyDescent="0.25">
      <c r="A52" s="174"/>
      <c r="B52" s="562"/>
      <c r="C52" s="563"/>
      <c r="D52" s="563"/>
      <c r="E52" s="563"/>
      <c r="F52" s="563"/>
      <c r="G52" s="563"/>
      <c r="H52" s="563"/>
      <c r="I52" s="563"/>
      <c r="J52" s="563"/>
      <c r="K52" s="563"/>
      <c r="L52" s="563"/>
      <c r="M52" s="561"/>
      <c r="N52" s="561"/>
      <c r="O52" s="561"/>
      <c r="P52" s="561"/>
    </row>
    <row r="53" spans="1:16" hidden="1" x14ac:dyDescent="0.25">
      <c r="A53" s="147"/>
      <c r="B53" s="562"/>
      <c r="C53" s="563"/>
      <c r="D53" s="563"/>
      <c r="E53" s="563"/>
      <c r="F53" s="563"/>
      <c r="G53" s="563"/>
      <c r="H53" s="563"/>
      <c r="I53" s="563"/>
      <c r="J53" s="563"/>
      <c r="K53" s="563"/>
      <c r="L53" s="563"/>
      <c r="M53" s="561"/>
      <c r="N53" s="561"/>
      <c r="O53" s="561"/>
      <c r="P53" s="561"/>
    </row>
    <row r="54" spans="1:16" x14ac:dyDescent="0.25">
      <c r="A54" s="147"/>
      <c r="B54" s="100"/>
      <c r="C54" s="100"/>
      <c r="D54" s="100"/>
      <c r="E54" s="100"/>
      <c r="F54" s="100"/>
      <c r="G54" s="100"/>
      <c r="H54" s="100"/>
      <c r="I54" s="100"/>
      <c r="J54" s="100"/>
      <c r="K54" s="100"/>
      <c r="L54" s="100"/>
      <c r="M54" s="10"/>
      <c r="N54" s="10"/>
      <c r="O54" s="10"/>
      <c r="P54" s="10"/>
    </row>
    <row r="55" spans="1:16" x14ac:dyDescent="0.25">
      <c r="A55" s="148" t="s">
        <v>6</v>
      </c>
      <c r="B55" s="100"/>
      <c r="C55" s="149"/>
      <c r="D55" s="149"/>
      <c r="E55" s="149"/>
      <c r="F55" s="149"/>
      <c r="G55" s="149"/>
      <c r="H55" s="149"/>
      <c r="I55" s="149"/>
      <c r="J55" s="149"/>
      <c r="K55" s="149"/>
      <c r="L55" s="149"/>
      <c r="M55" s="10"/>
      <c r="N55" s="10"/>
      <c r="O55" s="10"/>
      <c r="P55" s="10"/>
    </row>
    <row r="56" spans="1:16" ht="37.5" customHeight="1" x14ac:dyDescent="0.25">
      <c r="A56" s="150" t="s">
        <v>5</v>
      </c>
      <c r="B56" s="571" t="s">
        <v>116</v>
      </c>
      <c r="C56" s="571"/>
      <c r="D56" s="571"/>
      <c r="E56" s="571"/>
      <c r="F56" s="571"/>
      <c r="G56" s="571"/>
      <c r="H56" s="571"/>
      <c r="I56" s="571"/>
      <c r="J56" s="571"/>
      <c r="K56" s="571"/>
      <c r="L56" s="571"/>
      <c r="M56" s="571"/>
      <c r="N56" s="571"/>
      <c r="O56" s="571"/>
      <c r="P56" s="571"/>
    </row>
    <row r="57" spans="1:16" x14ac:dyDescent="0.25">
      <c r="A57" s="150" t="s">
        <v>4</v>
      </c>
      <c r="B57" s="560" t="s">
        <v>117</v>
      </c>
      <c r="C57" s="560"/>
      <c r="D57" s="560"/>
      <c r="E57" s="560"/>
      <c r="F57" s="560"/>
      <c r="G57" s="560"/>
      <c r="H57" s="560"/>
      <c r="I57" s="560"/>
      <c r="J57" s="560"/>
      <c r="K57" s="560"/>
      <c r="L57" s="560"/>
      <c r="M57" s="10"/>
      <c r="N57" s="10"/>
      <c r="O57" s="10"/>
      <c r="P57" s="10"/>
    </row>
    <row r="58" spans="1:16" x14ac:dyDescent="0.25">
      <c r="A58" s="150" t="s">
        <v>3</v>
      </c>
      <c r="B58" s="560" t="s">
        <v>118</v>
      </c>
      <c r="C58" s="561"/>
      <c r="D58" s="561"/>
      <c r="E58" s="561"/>
      <c r="F58" s="561"/>
      <c r="G58" s="561"/>
      <c r="H58" s="561"/>
      <c r="I58" s="561"/>
      <c r="J58" s="561"/>
      <c r="K58" s="561"/>
      <c r="L58" s="561"/>
      <c r="M58" s="561"/>
      <c r="N58" s="561"/>
      <c r="O58" s="561"/>
      <c r="P58" s="561"/>
    </row>
    <row r="59" spans="1:16" ht="41.25" customHeight="1" x14ac:dyDescent="0.25">
      <c r="A59" s="150" t="s">
        <v>2</v>
      </c>
      <c r="B59" s="560" t="s">
        <v>119</v>
      </c>
      <c r="C59" s="560"/>
      <c r="D59" s="560"/>
      <c r="E59" s="560"/>
      <c r="F59" s="560"/>
      <c r="G59" s="560"/>
      <c r="H59" s="560"/>
      <c r="I59" s="560"/>
      <c r="J59" s="560"/>
      <c r="K59" s="560"/>
      <c r="L59" s="560"/>
      <c r="M59" s="10"/>
      <c r="N59" s="10"/>
      <c r="O59" s="10"/>
      <c r="P59" s="10"/>
    </row>
    <row r="60" spans="1:16" ht="75" x14ac:dyDescent="0.25">
      <c r="A60" s="1"/>
      <c r="F60" s="113" t="s">
        <v>120</v>
      </c>
      <c r="G60" s="151" t="s">
        <v>121</v>
      </c>
      <c r="H60" s="151" t="s">
        <v>122</v>
      </c>
      <c r="I60" s="152" t="s">
        <v>123</v>
      </c>
      <c r="K60" s="10"/>
      <c r="L60" s="10"/>
      <c r="M60" s="10"/>
      <c r="N60" s="10"/>
    </row>
    <row r="61" spans="1:16" x14ac:dyDescent="0.25">
      <c r="A61" s="1"/>
      <c r="F61" s="113" t="s">
        <v>124</v>
      </c>
      <c r="G61" s="153">
        <v>0.79800000000000004</v>
      </c>
      <c r="H61" s="153">
        <v>0.83789139679172331</v>
      </c>
      <c r="I61" s="154">
        <v>3.3557046979865772</v>
      </c>
      <c r="K61" s="10"/>
      <c r="L61" s="10"/>
      <c r="M61" s="10"/>
      <c r="N61" s="10"/>
    </row>
    <row r="62" spans="1:16" x14ac:dyDescent="0.25">
      <c r="A62" s="1"/>
      <c r="F62" s="113" t="s">
        <v>125</v>
      </c>
      <c r="G62" s="153">
        <v>0.08</v>
      </c>
      <c r="H62" s="153">
        <v>8.4638327610316366E-2</v>
      </c>
      <c r="I62" s="154">
        <v>6.7114093959731544</v>
      </c>
      <c r="K62" s="10"/>
      <c r="L62" s="10"/>
      <c r="M62" s="10"/>
      <c r="N62" s="10"/>
    </row>
    <row r="63" spans="1:16" x14ac:dyDescent="0.25">
      <c r="A63" s="1"/>
      <c r="F63" s="113" t="s">
        <v>126</v>
      </c>
      <c r="G63" s="153">
        <v>6.0999999999999999E-2</v>
      </c>
      <c r="H63" s="153">
        <v>2.4390632528287944E-3</v>
      </c>
      <c r="I63" s="154">
        <v>6.7114093959731544</v>
      </c>
      <c r="K63" s="10"/>
      <c r="L63" s="10"/>
      <c r="M63" s="10"/>
      <c r="N63" s="10"/>
    </row>
    <row r="64" spans="1:16" x14ac:dyDescent="0.25">
      <c r="A64" s="1"/>
      <c r="F64" s="113" t="s">
        <v>127</v>
      </c>
      <c r="G64" s="153">
        <v>0</v>
      </c>
      <c r="H64" s="153">
        <v>0</v>
      </c>
      <c r="I64" s="155">
        <v>67.382550335570471</v>
      </c>
      <c r="K64" s="10"/>
      <c r="L64" s="10"/>
      <c r="M64" s="10"/>
      <c r="N64" s="10"/>
    </row>
    <row r="65" spans="1:16" x14ac:dyDescent="0.25">
      <c r="A65" s="1"/>
      <c r="F65" s="113" t="s">
        <v>128</v>
      </c>
      <c r="G65" s="153">
        <v>0.01</v>
      </c>
      <c r="H65" s="153">
        <v>1.2008799662457062E-2</v>
      </c>
      <c r="I65" s="155">
        <v>40.268456375838923</v>
      </c>
      <c r="K65" s="10"/>
      <c r="L65" s="10"/>
      <c r="M65" s="10"/>
      <c r="N65" s="10"/>
    </row>
    <row r="66" spans="1:16" x14ac:dyDescent="0.25">
      <c r="A66" s="4"/>
      <c r="B66" s="98"/>
      <c r="C66" s="98"/>
      <c r="D66" s="98"/>
      <c r="E66" s="98"/>
      <c r="F66" s="113" t="s">
        <v>129</v>
      </c>
      <c r="G66" s="153">
        <v>1.6E-2</v>
      </c>
      <c r="H66" s="153">
        <v>1.2462465427483218E-2</v>
      </c>
      <c r="I66" s="155">
        <v>18.859060402684563</v>
      </c>
      <c r="K66" s="10"/>
      <c r="L66" s="10"/>
      <c r="M66" s="10"/>
      <c r="N66" s="10"/>
    </row>
    <row r="67" spans="1:16" x14ac:dyDescent="0.25">
      <c r="A67" s="4"/>
      <c r="B67" s="98"/>
      <c r="C67" s="98"/>
      <c r="D67" s="98"/>
      <c r="E67" s="98"/>
      <c r="F67" s="113" t="s">
        <v>130</v>
      </c>
      <c r="G67" s="153">
        <v>0</v>
      </c>
      <c r="H67" s="156">
        <v>0</v>
      </c>
      <c r="I67" s="155">
        <v>34.899328859060404</v>
      </c>
      <c r="K67" s="10"/>
      <c r="L67" s="10"/>
      <c r="M67" s="10"/>
      <c r="N67" s="10"/>
    </row>
    <row r="68" spans="1:16" x14ac:dyDescent="0.25">
      <c r="A68" s="4"/>
      <c r="B68" s="98"/>
      <c r="C68" s="98"/>
      <c r="D68" s="98"/>
      <c r="E68" s="98"/>
      <c r="F68" s="113" t="s">
        <v>131</v>
      </c>
      <c r="G68" s="153">
        <v>3.5000000000000003E-2</v>
      </c>
      <c r="H68" s="153">
        <v>5.0559947255191202E-2</v>
      </c>
      <c r="I68" s="155">
        <v>27.919463087248321</v>
      </c>
      <c r="K68" s="10"/>
      <c r="L68" s="10"/>
      <c r="M68" s="10"/>
      <c r="N68" s="10"/>
    </row>
    <row r="69" spans="1:16" x14ac:dyDescent="0.25">
      <c r="A69" s="1"/>
    </row>
    <row r="70" spans="1:16" x14ac:dyDescent="0.25">
      <c r="A70" s="150" t="s">
        <v>0</v>
      </c>
      <c r="B70" s="560" t="s">
        <v>132</v>
      </c>
      <c r="C70" s="560"/>
      <c r="D70" s="560"/>
      <c r="E70" s="560"/>
      <c r="F70" s="560"/>
      <c r="G70" s="560"/>
      <c r="H70" s="560"/>
      <c r="I70" s="560"/>
      <c r="J70" s="560"/>
      <c r="K70" s="560"/>
      <c r="L70" s="560"/>
      <c r="M70" s="560"/>
      <c r="N70" s="560"/>
      <c r="O70" s="560"/>
      <c r="P70" s="560"/>
    </row>
    <row r="71" spans="1:16" x14ac:dyDescent="0.25">
      <c r="A71" s="150" t="s">
        <v>41</v>
      </c>
      <c r="B71" s="560" t="s">
        <v>133</v>
      </c>
      <c r="C71" s="560"/>
      <c r="D71" s="560"/>
      <c r="E71" s="560"/>
      <c r="F71" s="560"/>
      <c r="G71" s="560"/>
      <c r="H71" s="560"/>
      <c r="I71" s="560"/>
      <c r="J71" s="560"/>
      <c r="K71" s="560"/>
      <c r="L71" s="560"/>
      <c r="M71" s="560"/>
      <c r="N71" s="560"/>
      <c r="O71" s="560"/>
      <c r="P71" s="560"/>
    </row>
    <row r="72" spans="1:16" x14ac:dyDescent="0.25">
      <c r="A72" s="150" t="s">
        <v>42</v>
      </c>
      <c r="B72" s="560" t="s">
        <v>134</v>
      </c>
      <c r="C72" s="560"/>
      <c r="D72" s="560"/>
      <c r="E72" s="560"/>
      <c r="F72" s="560"/>
      <c r="G72" s="560"/>
      <c r="H72" s="560"/>
      <c r="I72" s="560"/>
      <c r="J72" s="560"/>
      <c r="K72" s="560"/>
      <c r="L72" s="560"/>
      <c r="M72" s="560"/>
      <c r="N72" s="560"/>
      <c r="O72" s="157"/>
      <c r="P72" s="157"/>
    </row>
    <row r="73" spans="1:16" x14ac:dyDescent="0.25">
      <c r="A73" s="150" t="s">
        <v>135</v>
      </c>
      <c r="B73" s="560" t="s">
        <v>136</v>
      </c>
      <c r="C73" s="560"/>
      <c r="D73" s="560"/>
      <c r="E73" s="560"/>
      <c r="F73" s="560"/>
      <c r="G73" s="560"/>
      <c r="H73" s="560"/>
      <c r="I73" s="560"/>
      <c r="J73" s="560"/>
      <c r="K73" s="560"/>
      <c r="L73" s="560"/>
      <c r="M73" s="560"/>
      <c r="N73" s="560"/>
      <c r="O73" s="157"/>
      <c r="P73" s="157"/>
    </row>
    <row r="74" spans="1:16" x14ac:dyDescent="0.25">
      <c r="A74" s="158" t="s">
        <v>99</v>
      </c>
      <c r="B74" s="572" t="s">
        <v>137</v>
      </c>
      <c r="C74" s="573"/>
      <c r="D74" s="573"/>
      <c r="E74" s="573"/>
      <c r="F74" s="573"/>
      <c r="G74" s="573"/>
      <c r="H74" s="573"/>
      <c r="I74" s="573"/>
      <c r="J74" s="573"/>
      <c r="K74" s="573"/>
      <c r="L74" s="573"/>
      <c r="M74" s="573"/>
      <c r="N74" s="573"/>
      <c r="O74" s="159"/>
      <c r="P74" s="159"/>
    </row>
    <row r="75" spans="1:16" ht="34.5" customHeight="1" x14ac:dyDescent="0.25">
      <c r="A75" s="160" t="s">
        <v>111</v>
      </c>
      <c r="B75" s="574" t="s">
        <v>138</v>
      </c>
      <c r="C75" s="575"/>
      <c r="D75" s="575"/>
      <c r="E75" s="575"/>
      <c r="F75" s="575"/>
      <c r="G75" s="575"/>
      <c r="H75" s="575"/>
      <c r="I75" s="575"/>
      <c r="J75" s="575"/>
      <c r="K75" s="575"/>
      <c r="L75" s="575"/>
      <c r="M75" s="575"/>
      <c r="N75" s="575"/>
      <c r="O75" s="159"/>
      <c r="P75" s="159"/>
    </row>
    <row r="76" spans="1:16" x14ac:dyDescent="0.25">
      <c r="A76" s="148" t="s">
        <v>28</v>
      </c>
      <c r="B76" s="161"/>
      <c r="C76" s="162"/>
      <c r="D76" s="162"/>
      <c r="E76" s="162"/>
      <c r="F76" s="162"/>
      <c r="G76" s="162"/>
      <c r="H76" s="162"/>
      <c r="I76" s="162"/>
      <c r="J76" s="162"/>
      <c r="K76" s="162"/>
      <c r="L76" s="162"/>
      <c r="M76" s="162"/>
      <c r="N76" s="162"/>
      <c r="O76" s="159"/>
      <c r="P76" s="159"/>
    </row>
    <row r="77" spans="1:16" x14ac:dyDescent="0.25">
      <c r="A77" s="1">
        <v>5</v>
      </c>
      <c r="F77" s="576" t="s">
        <v>139</v>
      </c>
      <c r="G77" s="576"/>
      <c r="H77" s="576"/>
      <c r="I77" s="576"/>
      <c r="J77" s="576"/>
      <c r="K77" s="576"/>
      <c r="L77" s="576"/>
      <c r="M77" s="576"/>
      <c r="N77" s="576"/>
    </row>
    <row r="78" spans="1:16" x14ac:dyDescent="0.25">
      <c r="A78" s="1">
        <v>8</v>
      </c>
      <c r="F78" s="576" t="s">
        <v>140</v>
      </c>
      <c r="G78" s="576"/>
      <c r="H78" s="576"/>
      <c r="I78" s="576"/>
      <c r="J78" s="576"/>
      <c r="K78" s="576"/>
      <c r="L78" s="576"/>
    </row>
    <row r="79" spans="1:16" x14ac:dyDescent="0.25">
      <c r="A79" s="1">
        <v>9</v>
      </c>
      <c r="F79" s="576" t="s">
        <v>141</v>
      </c>
      <c r="G79" s="576"/>
      <c r="H79" s="576"/>
      <c r="I79" s="576"/>
      <c r="J79" s="576"/>
      <c r="K79" s="576"/>
      <c r="L79" s="576"/>
      <c r="M79" s="576"/>
      <c r="N79" s="576"/>
    </row>
    <row r="80" spans="1:16" x14ac:dyDescent="0.25">
      <c r="A80" s="1">
        <v>12</v>
      </c>
      <c r="F80" s="576" t="s">
        <v>142</v>
      </c>
      <c r="G80" s="576"/>
      <c r="H80" s="576"/>
      <c r="I80" s="576"/>
      <c r="J80" s="576"/>
      <c r="K80" s="576"/>
      <c r="L80" s="576"/>
      <c r="M80" s="576"/>
      <c r="N80" s="576"/>
    </row>
  </sheetData>
  <mergeCells count="23">
    <mergeCell ref="B75:N75"/>
    <mergeCell ref="F77:N77"/>
    <mergeCell ref="F78:L78"/>
    <mergeCell ref="F79:N79"/>
    <mergeCell ref="F80:N80"/>
    <mergeCell ref="B70:P70"/>
    <mergeCell ref="B71:P71"/>
    <mergeCell ref="B72:N72"/>
    <mergeCell ref="B73:N73"/>
    <mergeCell ref="B74:N74"/>
    <mergeCell ref="B58:P58"/>
    <mergeCell ref="B59:L59"/>
    <mergeCell ref="F49:P49"/>
    <mergeCell ref="B50:L50"/>
    <mergeCell ref="G1:O1"/>
    <mergeCell ref="G3:P3"/>
    <mergeCell ref="K4:L4"/>
    <mergeCell ref="M4:N4"/>
    <mergeCell ref="B51:L51"/>
    <mergeCell ref="B52:P52"/>
    <mergeCell ref="B53:P53"/>
    <mergeCell ref="B56:P56"/>
    <mergeCell ref="B57:L57"/>
  </mergeCells>
  <hyperlinks>
    <hyperlink ref="H1" location="Index" display="Back to Index"/>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65"/>
  <sheetViews>
    <sheetView showGridLines="0" workbookViewId="0">
      <selection activeCell="S15" sqref="S15"/>
    </sheetView>
  </sheetViews>
  <sheetFormatPr defaultRowHeight="15" x14ac:dyDescent="0.25"/>
  <cols>
    <col min="1" max="1" width="4.42578125" customWidth="1"/>
    <col min="2" max="2" width="43.7109375" customWidth="1"/>
    <col min="3" max="3" width="8.28515625" customWidth="1"/>
    <col min="4" max="4" width="9" customWidth="1"/>
    <col min="5" max="5" width="8.28515625" customWidth="1"/>
    <col min="6" max="6" width="8.42578125" customWidth="1"/>
    <col min="7" max="7" width="10.140625" customWidth="1"/>
    <col min="8" max="8" width="8.85546875" customWidth="1"/>
    <col min="9" max="9" width="9.28515625" customWidth="1"/>
    <col min="10" max="10" width="8.42578125" customWidth="1"/>
    <col min="11" max="11" width="8.140625" customWidth="1"/>
    <col min="12" max="12" width="5.28515625" customWidth="1"/>
    <col min="13" max="13" width="12.85546875" customWidth="1"/>
    <col min="14" max="14" width="13.7109375" customWidth="1"/>
  </cols>
  <sheetData>
    <row r="1" spans="1:13" ht="15.75" x14ac:dyDescent="0.25">
      <c r="A1" s="1"/>
      <c r="B1" s="356" t="s">
        <v>709</v>
      </c>
      <c r="C1" s="564" t="s">
        <v>145</v>
      </c>
      <c r="D1" s="566"/>
      <c r="E1" s="566"/>
      <c r="F1" s="566"/>
      <c r="G1" s="566"/>
      <c r="H1" s="565"/>
      <c r="I1" s="566"/>
      <c r="J1" s="566"/>
      <c r="K1" s="566"/>
      <c r="L1" s="5"/>
    </row>
    <row r="2" spans="1:13" x14ac:dyDescent="0.25">
      <c r="A2" s="1"/>
      <c r="B2" s="10"/>
      <c r="C2" s="10"/>
      <c r="D2" s="10"/>
      <c r="E2" s="10"/>
      <c r="F2" s="10"/>
      <c r="G2" s="10"/>
      <c r="H2" s="10"/>
    </row>
    <row r="3" spans="1:13" x14ac:dyDescent="0.25">
      <c r="A3" s="1"/>
      <c r="B3" s="101" t="s">
        <v>20</v>
      </c>
      <c r="C3" s="579" t="s">
        <v>145</v>
      </c>
      <c r="D3" s="580"/>
      <c r="E3" s="580"/>
      <c r="F3" s="580"/>
      <c r="G3" s="580"/>
      <c r="H3" s="580"/>
      <c r="I3" s="580"/>
      <c r="J3" s="580"/>
      <c r="K3" s="580"/>
      <c r="L3" s="580"/>
    </row>
    <row r="4" spans="1:13" x14ac:dyDescent="0.25">
      <c r="A4" s="1"/>
      <c r="B4" s="175"/>
      <c r="C4" s="131">
        <v>2015</v>
      </c>
      <c r="D4" s="131">
        <v>2020</v>
      </c>
      <c r="E4" s="131">
        <v>2030</v>
      </c>
      <c r="F4" s="131">
        <v>2050</v>
      </c>
      <c r="G4" s="579" t="s">
        <v>26</v>
      </c>
      <c r="H4" s="579"/>
      <c r="I4" s="579" t="s">
        <v>25</v>
      </c>
      <c r="J4" s="579"/>
      <c r="K4" s="131" t="s">
        <v>19</v>
      </c>
      <c r="L4" s="131" t="s">
        <v>18</v>
      </c>
      <c r="M4" s="10"/>
    </row>
    <row r="5" spans="1:13" x14ac:dyDescent="0.25">
      <c r="A5" s="1"/>
      <c r="B5" s="101" t="s">
        <v>15</v>
      </c>
      <c r="C5" s="101"/>
      <c r="D5" s="101"/>
      <c r="E5" s="101"/>
      <c r="F5" s="101"/>
      <c r="G5" s="101" t="s">
        <v>17</v>
      </c>
      <c r="H5" s="101" t="s">
        <v>16</v>
      </c>
      <c r="I5" s="101" t="s">
        <v>17</v>
      </c>
      <c r="J5" s="101" t="s">
        <v>16</v>
      </c>
      <c r="K5" s="101"/>
      <c r="L5" s="101"/>
      <c r="M5" s="176"/>
    </row>
    <row r="6" spans="1:13" x14ac:dyDescent="0.25">
      <c r="A6" s="1"/>
      <c r="B6" s="175" t="s">
        <v>146</v>
      </c>
      <c r="C6" s="581">
        <v>1</v>
      </c>
      <c r="D6" s="582"/>
      <c r="E6" s="582"/>
      <c r="F6" s="582"/>
      <c r="G6" s="111"/>
      <c r="H6" s="111"/>
      <c r="I6" s="111"/>
      <c r="J6" s="111"/>
      <c r="K6" s="111" t="s">
        <v>89</v>
      </c>
      <c r="L6" s="112"/>
      <c r="M6" s="10"/>
    </row>
    <row r="7" spans="1:13" x14ac:dyDescent="0.25">
      <c r="A7" s="1"/>
      <c r="B7" s="175"/>
      <c r="C7" s="577"/>
      <c r="D7" s="578"/>
      <c r="E7" s="578"/>
      <c r="F7" s="578"/>
      <c r="G7" s="111"/>
      <c r="H7" s="111"/>
      <c r="I7" s="111"/>
      <c r="J7" s="111"/>
      <c r="K7" s="111"/>
      <c r="L7" s="111"/>
      <c r="M7" s="177"/>
    </row>
    <row r="8" spans="1:13" x14ac:dyDescent="0.25">
      <c r="A8" s="1"/>
      <c r="B8" s="178" t="s">
        <v>87</v>
      </c>
      <c r="C8" s="111"/>
      <c r="D8" s="111"/>
      <c r="E8" s="111"/>
      <c r="F8" s="111"/>
      <c r="G8" s="111"/>
      <c r="H8" s="111"/>
      <c r="I8" s="111"/>
      <c r="J8" s="111"/>
      <c r="K8" s="111"/>
      <c r="L8" s="111"/>
      <c r="M8" s="10"/>
    </row>
    <row r="9" spans="1:13" x14ac:dyDescent="0.25">
      <c r="A9" s="1"/>
      <c r="B9" s="116" t="s">
        <v>147</v>
      </c>
      <c r="C9" s="179">
        <v>1.9941088796192754</v>
      </c>
      <c r="D9" s="179">
        <v>1.8192614557560789</v>
      </c>
      <c r="E9" s="179">
        <v>1.8192614557560789</v>
      </c>
      <c r="F9" s="179">
        <v>1.8192614557560789</v>
      </c>
      <c r="G9" s="180"/>
      <c r="H9" s="117"/>
      <c r="I9" s="117"/>
      <c r="J9" s="117"/>
      <c r="K9" s="117" t="s">
        <v>89</v>
      </c>
      <c r="L9" s="112" t="s">
        <v>90</v>
      </c>
      <c r="M9" s="10"/>
    </row>
    <row r="10" spans="1:13" x14ac:dyDescent="0.25">
      <c r="A10" s="1"/>
      <c r="B10" s="118" t="s">
        <v>148</v>
      </c>
      <c r="C10" s="181">
        <v>4336.9805260464464</v>
      </c>
      <c r="D10" s="181">
        <v>3956.7054668085311</v>
      </c>
      <c r="E10" s="181">
        <v>3956.7054668085311</v>
      </c>
      <c r="F10" s="181">
        <v>3956.7054668085311</v>
      </c>
      <c r="G10" s="117"/>
      <c r="H10" s="117"/>
      <c r="I10" s="117"/>
      <c r="J10" s="117"/>
      <c r="K10" s="117"/>
      <c r="L10" s="113"/>
      <c r="M10" s="10"/>
    </row>
    <row r="11" spans="1:13" x14ac:dyDescent="0.25">
      <c r="A11" s="1"/>
      <c r="B11" s="116" t="s">
        <v>149</v>
      </c>
      <c r="C11" s="182">
        <v>3.1240122282366525E-2</v>
      </c>
      <c r="D11" s="182">
        <v>2.8500926364796616E-2</v>
      </c>
      <c r="E11" s="182">
        <v>2.8500926364796616E-2</v>
      </c>
      <c r="F11" s="182">
        <v>2.8500926364796616E-2</v>
      </c>
      <c r="G11" s="183"/>
      <c r="H11" s="117"/>
      <c r="I11" s="117"/>
      <c r="J11" s="117"/>
      <c r="K11" s="117"/>
      <c r="L11" s="112" t="s">
        <v>90</v>
      </c>
      <c r="M11" s="10"/>
    </row>
    <row r="12" spans="1:13" x14ac:dyDescent="0.25">
      <c r="A12" s="1"/>
      <c r="B12" s="118" t="s">
        <v>150</v>
      </c>
      <c r="C12" s="184">
        <v>63</v>
      </c>
      <c r="D12" s="184">
        <v>63</v>
      </c>
      <c r="E12" s="184">
        <v>63</v>
      </c>
      <c r="F12" s="184">
        <v>63</v>
      </c>
      <c r="G12" s="117"/>
      <c r="H12" s="117"/>
      <c r="I12" s="117"/>
      <c r="J12" s="117"/>
      <c r="K12" s="117" t="s">
        <v>5</v>
      </c>
      <c r="L12" s="113"/>
      <c r="M12" s="185"/>
    </row>
    <row r="13" spans="1:13" x14ac:dyDescent="0.25">
      <c r="A13" s="1"/>
      <c r="B13" s="116" t="s">
        <v>151</v>
      </c>
      <c r="C13" s="182">
        <v>9.2086572813314966E-3</v>
      </c>
      <c r="D13" s="182">
        <v>8.4012239363742813E-3</v>
      </c>
      <c r="E13" s="182">
        <v>8.4012239363742813E-3</v>
      </c>
      <c r="F13" s="182">
        <v>8.4012239363742813E-3</v>
      </c>
      <c r="G13" s="117"/>
      <c r="H13" s="117"/>
      <c r="I13" s="117"/>
      <c r="J13" s="117"/>
      <c r="K13" s="117"/>
      <c r="L13" s="112" t="s">
        <v>90</v>
      </c>
      <c r="M13" s="185"/>
    </row>
    <row r="14" spans="1:13" x14ac:dyDescent="0.25">
      <c r="A14" s="1"/>
      <c r="B14" s="118" t="s">
        <v>152</v>
      </c>
      <c r="C14" s="184">
        <v>18.600000000000001</v>
      </c>
      <c r="D14" s="184">
        <v>18.600000000000001</v>
      </c>
      <c r="E14" s="184">
        <v>18.600000000000001</v>
      </c>
      <c r="F14" s="184">
        <v>18.600000000000001</v>
      </c>
      <c r="G14" s="113"/>
      <c r="H14" s="113"/>
      <c r="I14" s="113"/>
      <c r="J14" s="113"/>
      <c r="K14" s="119" t="s">
        <v>5</v>
      </c>
      <c r="L14" s="117"/>
      <c r="M14" s="185"/>
    </row>
    <row r="15" spans="1:13" x14ac:dyDescent="0.25">
      <c r="A15" s="1"/>
      <c r="B15" s="186"/>
      <c r="C15" s="113"/>
      <c r="D15" s="113"/>
      <c r="E15" s="113"/>
      <c r="F15" s="113"/>
      <c r="G15" s="113"/>
      <c r="H15" s="113"/>
      <c r="I15" s="113"/>
      <c r="J15" s="113"/>
      <c r="K15" s="119"/>
      <c r="L15" s="124"/>
      <c r="M15" s="10"/>
    </row>
    <row r="16" spans="1:13" x14ac:dyDescent="0.25">
      <c r="A16" s="1"/>
      <c r="B16" s="187" t="s">
        <v>95</v>
      </c>
      <c r="C16" s="122"/>
      <c r="D16" s="122"/>
      <c r="E16" s="123"/>
      <c r="F16" s="123"/>
      <c r="G16" s="117"/>
      <c r="H16" s="117"/>
      <c r="I16" s="117"/>
      <c r="J16" s="117"/>
      <c r="K16" s="117"/>
      <c r="L16" s="127"/>
      <c r="M16" s="10"/>
    </row>
    <row r="17" spans="1:13" x14ac:dyDescent="0.25">
      <c r="A17" s="1"/>
      <c r="B17" s="188" t="s">
        <v>96</v>
      </c>
      <c r="C17" s="189">
        <v>1</v>
      </c>
      <c r="D17" s="189">
        <v>1</v>
      </c>
      <c r="E17" s="189">
        <v>1</v>
      </c>
      <c r="F17" s="189">
        <v>1</v>
      </c>
      <c r="G17" s="117"/>
      <c r="H17" s="117"/>
      <c r="I17" s="117"/>
      <c r="J17" s="117"/>
      <c r="K17" s="117" t="s">
        <v>153</v>
      </c>
      <c r="L17" s="113"/>
      <c r="M17" s="190"/>
    </row>
    <row r="18" spans="1:13" x14ac:dyDescent="0.25">
      <c r="A18" s="1"/>
      <c r="B18" s="118" t="s">
        <v>154</v>
      </c>
      <c r="C18" s="122">
        <v>7.27</v>
      </c>
      <c r="D18" s="122">
        <v>7.97</v>
      </c>
      <c r="E18" s="122">
        <v>7.97</v>
      </c>
      <c r="F18" s="122">
        <v>7.97</v>
      </c>
      <c r="G18" s="117"/>
      <c r="H18" s="117"/>
      <c r="I18" s="117"/>
      <c r="J18" s="117"/>
      <c r="K18" s="117" t="s">
        <v>153</v>
      </c>
      <c r="L18" s="112" t="s">
        <v>98</v>
      </c>
      <c r="M18" s="10"/>
    </row>
    <row r="19" spans="1:13" x14ac:dyDescent="0.25">
      <c r="A19" s="1"/>
      <c r="B19" s="116" t="s">
        <v>155</v>
      </c>
      <c r="C19" s="122"/>
      <c r="D19" s="122"/>
      <c r="E19" s="122"/>
      <c r="F19" s="122"/>
      <c r="G19" s="117"/>
      <c r="H19" s="117"/>
      <c r="I19" s="117"/>
      <c r="J19" s="117"/>
      <c r="K19" s="117" t="s">
        <v>2</v>
      </c>
      <c r="L19" s="124"/>
      <c r="M19" s="10"/>
    </row>
    <row r="20" spans="1:13" x14ac:dyDescent="0.25">
      <c r="A20" s="1"/>
      <c r="B20" s="116"/>
      <c r="C20" s="122"/>
      <c r="D20" s="122"/>
      <c r="E20" s="122"/>
      <c r="F20" s="122"/>
      <c r="G20" s="117"/>
      <c r="H20" s="117"/>
      <c r="I20" s="117"/>
      <c r="J20" s="117"/>
      <c r="K20" s="117"/>
      <c r="L20" s="124"/>
      <c r="M20" s="10"/>
    </row>
    <row r="21" spans="1:13" x14ac:dyDescent="0.25">
      <c r="A21" s="1"/>
      <c r="B21" s="116" t="s">
        <v>100</v>
      </c>
      <c r="C21" s="117">
        <v>0</v>
      </c>
      <c r="D21" s="117">
        <v>0</v>
      </c>
      <c r="E21" s="129">
        <v>0</v>
      </c>
      <c r="F21" s="130">
        <v>0</v>
      </c>
      <c r="G21" s="117"/>
      <c r="H21" s="117"/>
      <c r="I21" s="117"/>
      <c r="J21" s="117"/>
      <c r="K21" s="117"/>
      <c r="L21" s="117"/>
      <c r="M21" s="10"/>
    </row>
    <row r="22" spans="1:13" x14ac:dyDescent="0.25">
      <c r="A22" s="1"/>
      <c r="B22" s="116" t="s">
        <v>101</v>
      </c>
      <c r="C22" s="117">
        <v>10</v>
      </c>
      <c r="D22" s="117">
        <v>10</v>
      </c>
      <c r="E22" s="129">
        <v>10</v>
      </c>
      <c r="F22" s="130">
        <v>10</v>
      </c>
      <c r="G22" s="117"/>
      <c r="H22" s="117"/>
      <c r="I22" s="117"/>
      <c r="J22" s="117"/>
      <c r="K22" s="117"/>
      <c r="L22" s="111"/>
      <c r="M22" s="10"/>
    </row>
    <row r="23" spans="1:13" x14ac:dyDescent="0.25">
      <c r="A23" s="1"/>
      <c r="B23" s="175" t="s">
        <v>14</v>
      </c>
      <c r="C23" s="117">
        <v>20</v>
      </c>
      <c r="D23" s="117">
        <v>20</v>
      </c>
      <c r="E23" s="129">
        <v>20</v>
      </c>
      <c r="F23" s="130">
        <v>20</v>
      </c>
      <c r="G23" s="111"/>
      <c r="H23" s="111"/>
      <c r="I23" s="111"/>
      <c r="J23" s="111"/>
      <c r="K23" s="111"/>
      <c r="L23" s="111"/>
      <c r="M23" s="10"/>
    </row>
    <row r="24" spans="1:13" x14ac:dyDescent="0.25">
      <c r="A24" s="1"/>
      <c r="B24" s="175" t="s">
        <v>12</v>
      </c>
      <c r="C24" s="117">
        <v>1</v>
      </c>
      <c r="D24" s="117">
        <v>1</v>
      </c>
      <c r="E24" s="129">
        <v>1</v>
      </c>
      <c r="F24" s="130">
        <v>1</v>
      </c>
      <c r="G24" s="111"/>
      <c r="H24" s="111"/>
      <c r="I24" s="111"/>
      <c r="J24" s="111"/>
      <c r="K24" s="111"/>
      <c r="L24" s="111"/>
      <c r="M24" s="10"/>
    </row>
    <row r="25" spans="1:13" x14ac:dyDescent="0.25">
      <c r="A25" s="1"/>
      <c r="B25" s="175"/>
      <c r="C25" s="111"/>
      <c r="D25" s="111"/>
      <c r="E25" s="111"/>
      <c r="F25" s="111"/>
      <c r="G25" s="111"/>
      <c r="H25" s="111"/>
      <c r="I25" s="111"/>
      <c r="J25" s="111"/>
      <c r="K25" s="111"/>
      <c r="L25" s="101"/>
      <c r="M25" s="10"/>
    </row>
    <row r="26" spans="1:13" x14ac:dyDescent="0.25">
      <c r="A26" s="1"/>
      <c r="B26" s="191" t="s">
        <v>9</v>
      </c>
      <c r="C26" s="191"/>
      <c r="D26" s="191"/>
      <c r="E26" s="191"/>
      <c r="F26" s="191"/>
      <c r="G26" s="101"/>
      <c r="H26" s="101"/>
      <c r="I26" s="101"/>
      <c r="J26" s="101"/>
      <c r="K26" s="131"/>
      <c r="L26" s="113"/>
      <c r="M26" s="10"/>
    </row>
    <row r="27" spans="1:13" x14ac:dyDescent="0.25">
      <c r="A27" s="1"/>
      <c r="B27" s="116" t="s">
        <v>156</v>
      </c>
      <c r="C27" s="126">
        <v>407676.16944836598</v>
      </c>
      <c r="D27" s="126">
        <v>371930.31388000195</v>
      </c>
      <c r="E27" s="192">
        <v>371930.31388000195</v>
      </c>
      <c r="F27" s="192">
        <v>371930.31388000195</v>
      </c>
      <c r="G27" s="137"/>
      <c r="H27" s="137"/>
      <c r="I27" s="137"/>
      <c r="J27" s="137"/>
      <c r="K27" s="111" t="s">
        <v>157</v>
      </c>
      <c r="L27" s="133" t="s">
        <v>104</v>
      </c>
      <c r="M27" s="193"/>
    </row>
    <row r="28" spans="1:13" x14ac:dyDescent="0.25">
      <c r="A28" s="1"/>
      <c r="B28" s="118" t="s">
        <v>158</v>
      </c>
      <c r="C28" s="136">
        <v>94</v>
      </c>
      <c r="D28" s="136">
        <v>94</v>
      </c>
      <c r="E28" s="136">
        <v>94</v>
      </c>
      <c r="F28" s="136">
        <v>94</v>
      </c>
      <c r="G28" s="111"/>
      <c r="H28" s="111"/>
      <c r="I28" s="111"/>
      <c r="J28" s="111"/>
      <c r="K28" s="111" t="s">
        <v>157</v>
      </c>
      <c r="L28" s="111"/>
      <c r="M28" s="10"/>
    </row>
    <row r="29" spans="1:13" x14ac:dyDescent="0.25">
      <c r="A29" s="1"/>
      <c r="B29" s="116" t="s">
        <v>105</v>
      </c>
      <c r="C29" s="126">
        <f>C30*C10</f>
        <v>47386.621139570423</v>
      </c>
      <c r="D29" s="126">
        <f t="shared" ref="D29:F29" si="0">D30*D10</f>
        <v>44727.302826015723</v>
      </c>
      <c r="E29" s="126">
        <f t="shared" si="0"/>
        <v>52704.021047101713</v>
      </c>
      <c r="F29" s="126">
        <f t="shared" si="0"/>
        <v>56692.380157644715</v>
      </c>
      <c r="G29" s="111"/>
      <c r="H29" s="111"/>
      <c r="I29" s="111"/>
      <c r="J29" s="111"/>
      <c r="K29" s="111" t="s">
        <v>159</v>
      </c>
      <c r="L29" s="138" t="s">
        <v>108</v>
      </c>
      <c r="M29" s="10"/>
    </row>
    <row r="30" spans="1:13" x14ac:dyDescent="0.25">
      <c r="A30" s="1"/>
      <c r="B30" s="118" t="s">
        <v>160</v>
      </c>
      <c r="C30" s="142">
        <f>SUM(C31:C33)</f>
        <v>10.926177983733686</v>
      </c>
      <c r="D30" s="142">
        <f t="shared" ref="D30:F30" si="1">SUM(D31:D33)</f>
        <v>11.304177983733688</v>
      </c>
      <c r="E30" s="142">
        <f t="shared" si="1"/>
        <v>13.320177983733686</v>
      </c>
      <c r="F30" s="142">
        <f t="shared" si="1"/>
        <v>14.328177983733687</v>
      </c>
      <c r="G30" s="194"/>
      <c r="H30" s="194"/>
      <c r="I30" s="194"/>
      <c r="J30" s="194"/>
      <c r="K30" s="111" t="s">
        <v>159</v>
      </c>
      <c r="L30" s="195"/>
      <c r="M30" s="10"/>
    </row>
    <row r="31" spans="1:13" x14ac:dyDescent="0.25">
      <c r="A31" s="1"/>
      <c r="B31" s="139" t="s">
        <v>109</v>
      </c>
      <c r="C31" s="136">
        <v>6.5471779837336861</v>
      </c>
      <c r="D31" s="136">
        <v>6.5471779837336861</v>
      </c>
      <c r="E31" s="136">
        <v>6.5471779837336861</v>
      </c>
      <c r="F31" s="136">
        <v>6.5471779837336861</v>
      </c>
      <c r="G31" s="194"/>
      <c r="H31" s="194"/>
      <c r="I31" s="194"/>
      <c r="J31" s="194"/>
      <c r="K31" s="111"/>
      <c r="L31" s="195"/>
      <c r="M31" s="10"/>
    </row>
    <row r="32" spans="1:13" x14ac:dyDescent="0.25">
      <c r="A32" s="1"/>
      <c r="B32" s="139" t="s">
        <v>110</v>
      </c>
      <c r="C32" s="136">
        <f>63*C12/1000</f>
        <v>3.9689999999999999</v>
      </c>
      <c r="D32" s="136">
        <f>69*D12/1000</f>
        <v>4.3470000000000004</v>
      </c>
      <c r="E32" s="136">
        <f>101*E12/1000</f>
        <v>6.3630000000000004</v>
      </c>
      <c r="F32" s="136">
        <f>117*F12/1000</f>
        <v>7.3710000000000004</v>
      </c>
      <c r="G32" s="194"/>
      <c r="H32" s="194"/>
      <c r="I32" s="194"/>
      <c r="J32" s="194"/>
      <c r="K32" s="111" t="s">
        <v>111</v>
      </c>
      <c r="L32" s="195"/>
      <c r="M32" s="10"/>
    </row>
    <row r="33" spans="1:14" x14ac:dyDescent="0.25">
      <c r="A33" s="1"/>
      <c r="B33" s="139" t="s">
        <v>112</v>
      </c>
      <c r="C33" s="136">
        <f>0.0220430107526882*C14</f>
        <v>0.41000000000000059</v>
      </c>
      <c r="D33" s="136">
        <f t="shared" ref="D33:F33" si="2">0.0220430107526882*D14</f>
        <v>0.41000000000000059</v>
      </c>
      <c r="E33" s="136">
        <f t="shared" si="2"/>
        <v>0.41000000000000059</v>
      </c>
      <c r="F33" s="136">
        <f t="shared" si="2"/>
        <v>0.41000000000000059</v>
      </c>
      <c r="G33" s="194"/>
      <c r="H33" s="194"/>
      <c r="I33" s="194"/>
      <c r="J33" s="194"/>
      <c r="K33" s="111"/>
      <c r="L33" s="195"/>
      <c r="M33" s="10"/>
    </row>
    <row r="34" spans="1:14" x14ac:dyDescent="0.25">
      <c r="A34" s="1"/>
      <c r="B34" s="115"/>
      <c r="C34" s="142"/>
      <c r="D34" s="142"/>
      <c r="E34" s="142"/>
      <c r="F34" s="142"/>
      <c r="G34" s="146"/>
      <c r="H34" s="146"/>
      <c r="I34" s="113"/>
      <c r="J34" s="113"/>
      <c r="K34" s="119"/>
      <c r="L34" s="195"/>
      <c r="M34" s="10"/>
    </row>
    <row r="35" spans="1:14" x14ac:dyDescent="0.25">
      <c r="A35" s="1"/>
      <c r="B35" s="196" t="s">
        <v>113</v>
      </c>
      <c r="C35" s="142"/>
      <c r="D35" s="142"/>
      <c r="E35" s="142"/>
      <c r="F35" s="142"/>
      <c r="G35" s="143"/>
      <c r="H35" s="143"/>
      <c r="I35" s="113"/>
      <c r="J35" s="113"/>
      <c r="K35" s="119"/>
      <c r="L35" s="195"/>
      <c r="M35" s="10"/>
    </row>
    <row r="36" spans="1:14" x14ac:dyDescent="0.25">
      <c r="A36" s="1"/>
      <c r="B36" s="116" t="s">
        <v>161</v>
      </c>
      <c r="C36" s="142">
        <v>4</v>
      </c>
      <c r="D36" s="142">
        <v>4.4000000000000004</v>
      </c>
      <c r="E36" s="142">
        <v>4.4000000000000004</v>
      </c>
      <c r="F36" s="142">
        <v>4.4000000000000004</v>
      </c>
      <c r="G36" s="146">
        <v>1.8</v>
      </c>
      <c r="H36" s="146">
        <v>9.1999999999999993</v>
      </c>
      <c r="I36" s="146">
        <v>1.8</v>
      </c>
      <c r="J36" s="146">
        <v>9.1999999999999993</v>
      </c>
      <c r="K36" s="119" t="s">
        <v>42</v>
      </c>
      <c r="L36" s="195" t="s">
        <v>115</v>
      </c>
      <c r="M36" s="197"/>
    </row>
    <row r="37" spans="1:14" hidden="1" x14ac:dyDescent="0.25">
      <c r="A37" s="1"/>
      <c r="B37" s="198">
        <f>500/7.48</f>
        <v>66.844919786096256</v>
      </c>
      <c r="C37" s="145" t="s">
        <v>162</v>
      </c>
      <c r="D37" s="142" t="e">
        <f>#REF!*100</f>
        <v>#REF!</v>
      </c>
      <c r="E37" s="142" t="e">
        <f>#REF!</f>
        <v>#REF!</v>
      </c>
      <c r="F37" s="142" t="e">
        <f>E37</f>
        <v>#REF!</v>
      </c>
      <c r="G37" s="142" t="e">
        <f>F37</f>
        <v>#REF!</v>
      </c>
      <c r="H37" s="146"/>
      <c r="I37" s="146"/>
      <c r="J37" s="113"/>
      <c r="K37" s="113"/>
      <c r="L37" s="119" t="s">
        <v>163</v>
      </c>
      <c r="M37" s="144" t="s">
        <v>164</v>
      </c>
      <c r="N37" s="199"/>
    </row>
    <row r="38" spans="1:14" hidden="1" x14ac:dyDescent="0.25">
      <c r="A38" s="1"/>
      <c r="C38" s="198"/>
      <c r="D38" s="198"/>
      <c r="E38" s="198"/>
      <c r="F38" s="198"/>
      <c r="G38" s="198"/>
      <c r="N38" s="10"/>
    </row>
    <row r="39" spans="1:14" hidden="1" x14ac:dyDescent="0.25">
      <c r="A39" s="1"/>
      <c r="C39" s="149"/>
      <c r="D39" s="200"/>
      <c r="E39" s="200"/>
      <c r="F39" s="200"/>
      <c r="G39" s="200"/>
      <c r="H39" s="92"/>
      <c r="I39" s="92"/>
      <c r="N39" s="10"/>
    </row>
    <row r="40" spans="1:14" hidden="1" x14ac:dyDescent="0.25">
      <c r="A40" s="562"/>
      <c r="B40" s="563"/>
      <c r="C40" s="563"/>
      <c r="D40" s="563"/>
      <c r="E40" s="563"/>
      <c r="F40" s="563"/>
      <c r="G40" s="563"/>
      <c r="H40" s="563"/>
      <c r="I40" s="563"/>
      <c r="J40" s="100"/>
      <c r="K40" s="147"/>
      <c r="L40" s="562"/>
      <c r="M40" s="562"/>
      <c r="N40" s="10"/>
    </row>
    <row r="41" spans="1:14" hidden="1" x14ac:dyDescent="0.25">
      <c r="A41" s="147"/>
      <c r="C41" s="562"/>
      <c r="D41" s="563"/>
      <c r="E41" s="563"/>
      <c r="F41" s="563"/>
      <c r="G41" s="563"/>
      <c r="H41" s="563"/>
      <c r="I41" s="563"/>
      <c r="J41" s="563"/>
      <c r="K41" s="563"/>
      <c r="L41" s="562"/>
      <c r="M41" s="562"/>
      <c r="N41" s="10"/>
    </row>
    <row r="42" spans="1:14" hidden="1" x14ac:dyDescent="0.25">
      <c r="A42" s="174"/>
      <c r="B42" s="562"/>
      <c r="C42" s="563"/>
      <c r="D42" s="563"/>
      <c r="E42" s="563"/>
      <c r="F42" s="563"/>
      <c r="G42" s="563"/>
      <c r="H42" s="563"/>
      <c r="I42" s="563"/>
      <c r="J42" s="563"/>
      <c r="K42" s="147"/>
      <c r="L42" s="562"/>
      <c r="M42" s="562"/>
      <c r="N42" s="10"/>
    </row>
    <row r="43" spans="1:14" hidden="1" x14ac:dyDescent="0.25">
      <c r="A43" s="147"/>
      <c r="C43" s="562"/>
      <c r="D43" s="563"/>
      <c r="E43" s="563"/>
      <c r="F43" s="563"/>
      <c r="G43" s="563"/>
      <c r="H43" s="563"/>
      <c r="I43" s="563"/>
      <c r="J43" s="563"/>
      <c r="K43" s="563"/>
      <c r="L43" s="562"/>
      <c r="M43" s="562"/>
      <c r="N43" s="10"/>
    </row>
    <row r="44" spans="1:14" hidden="1" x14ac:dyDescent="0.25">
      <c r="A44" s="147"/>
      <c r="B44" s="562"/>
      <c r="C44" s="563"/>
      <c r="D44" s="563"/>
      <c r="E44" s="563"/>
      <c r="F44" s="563"/>
      <c r="G44" s="563"/>
      <c r="H44" s="563"/>
      <c r="I44" s="563"/>
      <c r="J44" s="563"/>
      <c r="K44" s="147"/>
      <c r="L44" s="562"/>
      <c r="M44" s="562"/>
      <c r="N44" s="10"/>
    </row>
    <row r="45" spans="1:14" hidden="1" x14ac:dyDescent="0.25">
      <c r="B45" s="201"/>
      <c r="L45" s="562"/>
      <c r="M45" s="562"/>
      <c r="N45" s="10"/>
    </row>
    <row r="46" spans="1:14" x14ac:dyDescent="0.25">
      <c r="A46" s="147"/>
      <c r="B46" s="100"/>
      <c r="C46" s="100"/>
      <c r="D46" s="202"/>
      <c r="E46" s="100"/>
      <c r="F46" s="100"/>
      <c r="G46" s="100"/>
      <c r="H46" s="100"/>
      <c r="I46" s="100"/>
      <c r="J46" s="100"/>
      <c r="K46" s="147"/>
      <c r="L46" s="562"/>
      <c r="M46" s="562"/>
      <c r="N46" s="10"/>
    </row>
    <row r="47" spans="1:14" x14ac:dyDescent="0.25">
      <c r="A47" s="583" t="s">
        <v>6</v>
      </c>
      <c r="B47" s="584"/>
      <c r="C47" s="149"/>
      <c r="D47" s="149"/>
      <c r="E47" s="149"/>
      <c r="F47" s="149"/>
      <c r="G47" s="149"/>
      <c r="H47" s="149"/>
      <c r="I47" s="149"/>
      <c r="J47" s="149"/>
      <c r="K47" s="147"/>
      <c r="L47" s="562"/>
      <c r="M47" s="562"/>
      <c r="N47" s="10"/>
    </row>
    <row r="48" spans="1:14" x14ac:dyDescent="0.25">
      <c r="A48" s="150" t="s">
        <v>5</v>
      </c>
      <c r="B48" s="506" t="s">
        <v>165</v>
      </c>
      <c r="C48" s="511"/>
      <c r="D48" s="511"/>
      <c r="E48" s="511"/>
      <c r="F48" s="511"/>
      <c r="G48" s="511"/>
      <c r="H48" s="511"/>
      <c r="I48" s="511"/>
      <c r="J48" s="511"/>
      <c r="K48" s="503"/>
      <c r="L48" s="503"/>
      <c r="M48" s="503"/>
      <c r="N48" s="507"/>
    </row>
    <row r="49" spans="1:14" x14ac:dyDescent="0.25">
      <c r="A49" s="150" t="s">
        <v>4</v>
      </c>
      <c r="B49" s="506" t="s">
        <v>166</v>
      </c>
      <c r="C49" s="511"/>
      <c r="D49" s="511"/>
      <c r="E49" s="511"/>
      <c r="F49" s="511"/>
      <c r="G49" s="511"/>
      <c r="H49" s="511"/>
      <c r="I49" s="511"/>
      <c r="J49" s="511"/>
      <c r="K49" s="503"/>
      <c r="L49" s="503"/>
      <c r="M49" s="503"/>
      <c r="N49" s="508"/>
    </row>
    <row r="50" spans="1:14" ht="15" customHeight="1" x14ac:dyDescent="0.25">
      <c r="A50" s="150" t="s">
        <v>3</v>
      </c>
      <c r="B50" s="505" t="s">
        <v>167</v>
      </c>
      <c r="C50" s="505"/>
      <c r="D50" s="505"/>
      <c r="E50" s="505"/>
      <c r="F50" s="505"/>
      <c r="G50" s="505"/>
      <c r="H50" s="505"/>
      <c r="I50" s="505"/>
      <c r="J50" s="505"/>
      <c r="K50" s="505"/>
      <c r="L50" s="505"/>
      <c r="M50" s="505"/>
      <c r="N50" s="500"/>
    </row>
    <row r="51" spans="1:14" x14ac:dyDescent="0.25">
      <c r="A51" s="150" t="s">
        <v>2</v>
      </c>
      <c r="B51" s="506" t="s">
        <v>168</v>
      </c>
      <c r="D51" s="511"/>
      <c r="E51" s="511"/>
      <c r="F51" s="511"/>
      <c r="G51" s="511"/>
      <c r="H51" s="511"/>
      <c r="I51" s="511"/>
      <c r="J51" s="511"/>
      <c r="K51" s="511"/>
      <c r="L51" s="503"/>
      <c r="M51" s="503"/>
      <c r="N51" s="500"/>
    </row>
    <row r="52" spans="1:14" ht="15" customHeight="1" x14ac:dyDescent="0.25">
      <c r="A52" s="150" t="s">
        <v>1</v>
      </c>
      <c r="B52" s="506" t="s">
        <v>169</v>
      </c>
      <c r="C52" s="506"/>
      <c r="D52" s="506"/>
      <c r="E52" s="506"/>
      <c r="F52" s="506"/>
      <c r="G52" s="506"/>
      <c r="H52" s="506"/>
      <c r="I52" s="506"/>
      <c r="J52" s="506"/>
      <c r="K52" s="147"/>
      <c r="L52" s="91"/>
      <c r="M52" s="91"/>
      <c r="N52" s="500"/>
    </row>
    <row r="53" spans="1:14" ht="15" customHeight="1" x14ac:dyDescent="0.25">
      <c r="A53" s="150" t="s">
        <v>0</v>
      </c>
      <c r="B53" s="506" t="s">
        <v>170</v>
      </c>
      <c r="C53" s="506"/>
      <c r="D53" s="506"/>
      <c r="E53" s="506"/>
      <c r="F53" s="506"/>
      <c r="G53" s="506"/>
      <c r="H53" s="506"/>
      <c r="I53" s="506"/>
      <c r="J53" s="506"/>
      <c r="K53" s="506"/>
      <c r="L53" s="506"/>
      <c r="M53" s="506"/>
      <c r="N53" s="500"/>
    </row>
    <row r="54" spans="1:14" ht="15" customHeight="1" x14ac:dyDescent="0.25">
      <c r="A54" s="150" t="s">
        <v>41</v>
      </c>
      <c r="B54" s="91" t="s">
        <v>171</v>
      </c>
      <c r="C54" s="91"/>
      <c r="D54" s="91"/>
      <c r="E54" s="91"/>
      <c r="F54" s="91"/>
      <c r="G54" s="91"/>
      <c r="H54" s="91"/>
      <c r="I54" s="91"/>
      <c r="J54" s="91"/>
      <c r="K54" s="91"/>
      <c r="L54" s="91"/>
      <c r="M54" s="91"/>
      <c r="N54" s="500"/>
    </row>
    <row r="55" spans="1:14" ht="15" customHeight="1" x14ac:dyDescent="0.25">
      <c r="A55" s="150" t="s">
        <v>42</v>
      </c>
      <c r="B55" s="91" t="s">
        <v>172</v>
      </c>
      <c r="C55" s="91"/>
      <c r="D55" s="91"/>
      <c r="E55" s="91"/>
      <c r="F55" s="91"/>
      <c r="G55" s="91"/>
      <c r="H55" s="91"/>
      <c r="I55" s="91"/>
      <c r="J55" s="91"/>
      <c r="K55" s="91"/>
      <c r="L55" s="507"/>
      <c r="M55" s="507"/>
      <c r="N55" s="500"/>
    </row>
    <row r="56" spans="1:14" ht="15" customHeight="1" x14ac:dyDescent="0.25">
      <c r="A56" s="150" t="s">
        <v>99</v>
      </c>
      <c r="B56" s="505" t="s">
        <v>137</v>
      </c>
      <c r="C56" s="505"/>
      <c r="D56" s="505"/>
      <c r="E56" s="505"/>
      <c r="F56" s="505"/>
      <c r="G56" s="505"/>
      <c r="H56" s="505"/>
      <c r="I56" s="505"/>
      <c r="J56" s="505"/>
      <c r="K56" s="507"/>
      <c r="L56" s="507"/>
      <c r="M56" s="507"/>
      <c r="N56" s="500"/>
    </row>
    <row r="57" spans="1:14" ht="15" customHeight="1" x14ac:dyDescent="0.25">
      <c r="A57" s="150" t="s">
        <v>111</v>
      </c>
      <c r="B57" s="321" t="s">
        <v>138</v>
      </c>
      <c r="C57" s="321"/>
      <c r="D57" s="321"/>
      <c r="E57" s="321"/>
      <c r="F57" s="321"/>
      <c r="G57" s="321"/>
      <c r="H57" s="321"/>
      <c r="I57" s="321"/>
      <c r="J57" s="321"/>
      <c r="K57" s="321"/>
      <c r="L57" s="321"/>
      <c r="M57" s="321"/>
      <c r="N57" s="321"/>
    </row>
    <row r="58" spans="1:14" x14ac:dyDescent="0.25">
      <c r="A58" s="150"/>
      <c r="B58" s="214"/>
      <c r="C58" s="509"/>
      <c r="D58" s="509"/>
      <c r="E58" s="509"/>
      <c r="F58" s="509"/>
      <c r="G58" s="509"/>
      <c r="H58" s="509"/>
      <c r="I58" s="509"/>
      <c r="J58" s="509"/>
      <c r="K58" s="509"/>
      <c r="L58" s="509"/>
      <c r="M58" s="509"/>
      <c r="N58" s="509"/>
    </row>
    <row r="59" spans="1:14" x14ac:dyDescent="0.25">
      <c r="A59" s="148" t="s">
        <v>28</v>
      </c>
      <c r="B59" s="510"/>
      <c r="C59" s="510"/>
      <c r="D59" s="510"/>
      <c r="E59" s="510"/>
      <c r="F59" s="510"/>
      <c r="G59" s="510"/>
      <c r="H59" s="510"/>
      <c r="I59" s="510"/>
      <c r="J59" s="500"/>
      <c r="K59" s="500"/>
      <c r="L59" s="500"/>
      <c r="M59" s="500"/>
      <c r="N59" s="500"/>
    </row>
    <row r="60" spans="1:14" x14ac:dyDescent="0.25">
      <c r="A60" s="1">
        <v>5</v>
      </c>
      <c r="B60" s="499" t="s">
        <v>139</v>
      </c>
      <c r="D60" s="499"/>
      <c r="E60" s="499"/>
      <c r="F60" s="499"/>
      <c r="G60" s="499"/>
      <c r="H60" s="499"/>
      <c r="I60" s="499"/>
      <c r="J60" s="499"/>
      <c r="K60" s="499"/>
      <c r="L60" s="500"/>
      <c r="M60" s="500"/>
      <c r="N60" s="500"/>
    </row>
    <row r="61" spans="1:14" x14ac:dyDescent="0.25">
      <c r="A61" s="1">
        <v>8</v>
      </c>
      <c r="B61" s="499" t="s">
        <v>140</v>
      </c>
      <c r="D61" s="499"/>
      <c r="E61" s="499"/>
      <c r="F61" s="499"/>
      <c r="G61" s="499"/>
      <c r="H61" s="499"/>
      <c r="I61" s="499"/>
      <c r="J61" s="500"/>
      <c r="K61" s="500"/>
      <c r="L61" s="500"/>
      <c r="M61" s="500"/>
      <c r="N61" s="500"/>
    </row>
    <row r="62" spans="1:14" x14ac:dyDescent="0.25">
      <c r="A62" s="1">
        <v>9</v>
      </c>
      <c r="B62" s="499" t="s">
        <v>141</v>
      </c>
      <c r="D62" s="499"/>
      <c r="E62" s="499"/>
      <c r="F62" s="499"/>
      <c r="G62" s="499"/>
      <c r="H62" s="499"/>
      <c r="I62" s="499"/>
      <c r="J62" s="499"/>
      <c r="K62" s="499"/>
      <c r="L62" s="500"/>
      <c r="M62" s="500"/>
      <c r="N62" s="500"/>
    </row>
    <row r="63" spans="1:14" x14ac:dyDescent="0.25">
      <c r="A63" s="1">
        <v>12</v>
      </c>
      <c r="B63" s="499" t="s">
        <v>142</v>
      </c>
      <c r="D63" s="499"/>
      <c r="E63" s="499"/>
      <c r="F63" s="499"/>
      <c r="G63" s="499"/>
      <c r="H63" s="499"/>
      <c r="I63" s="499"/>
      <c r="J63" s="499"/>
      <c r="K63" s="499"/>
      <c r="L63" s="500"/>
      <c r="M63" s="500"/>
      <c r="N63" s="500"/>
    </row>
    <row r="64" spans="1:14" x14ac:dyDescent="0.25">
      <c r="B64" s="500"/>
      <c r="C64" s="500"/>
      <c r="D64" s="500"/>
      <c r="E64" s="500"/>
      <c r="F64" s="500"/>
      <c r="G64" s="500"/>
      <c r="H64" s="500"/>
      <c r="I64" s="500"/>
      <c r="J64" s="500"/>
      <c r="K64" s="500"/>
      <c r="L64" s="500"/>
      <c r="M64" s="500"/>
      <c r="N64" s="500"/>
    </row>
    <row r="65" spans="2:14" x14ac:dyDescent="0.25">
      <c r="B65" s="500"/>
      <c r="C65" s="500"/>
      <c r="D65" s="500"/>
      <c r="E65" s="500"/>
      <c r="F65" s="500"/>
      <c r="G65" s="500"/>
      <c r="H65" s="500"/>
      <c r="I65" s="500"/>
      <c r="J65" s="500"/>
      <c r="K65" s="500"/>
      <c r="L65" s="500"/>
      <c r="M65" s="500"/>
      <c r="N65" s="500"/>
    </row>
  </sheetData>
  <mergeCells count="20">
    <mergeCell ref="L46:M46"/>
    <mergeCell ref="A47:B47"/>
    <mergeCell ref="L47:M47"/>
    <mergeCell ref="A40:I40"/>
    <mergeCell ref="L40:M40"/>
    <mergeCell ref="C41:K41"/>
    <mergeCell ref="L41:M41"/>
    <mergeCell ref="B42:J42"/>
    <mergeCell ref="L42:M42"/>
    <mergeCell ref="C43:K43"/>
    <mergeCell ref="L43:M43"/>
    <mergeCell ref="B44:J44"/>
    <mergeCell ref="L44:M44"/>
    <mergeCell ref="L45:M45"/>
    <mergeCell ref="C7:F7"/>
    <mergeCell ref="C1:K1"/>
    <mergeCell ref="C3:L3"/>
    <mergeCell ref="G4:H4"/>
    <mergeCell ref="I4:J4"/>
    <mergeCell ref="C6:F6"/>
  </mergeCells>
  <hyperlinks>
    <hyperlink ref="B1" location="Index" display="Back to Index"/>
    <hyperlink ref="H1" location="Index" display="Back to Index"/>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64"/>
  <sheetViews>
    <sheetView showGridLines="0" workbookViewId="0">
      <selection activeCell="O15" sqref="O15"/>
    </sheetView>
  </sheetViews>
  <sheetFormatPr defaultRowHeight="15" x14ac:dyDescent="0.25"/>
  <cols>
    <col min="1" max="1" width="4.42578125" customWidth="1"/>
    <col min="2" max="2" width="34.7109375" customWidth="1"/>
    <col min="3" max="12" width="11.140625" customWidth="1"/>
    <col min="13" max="13" width="12.85546875" customWidth="1"/>
  </cols>
  <sheetData>
    <row r="1" spans="1:12" ht="20.25" x14ac:dyDescent="0.3">
      <c r="A1" s="1"/>
      <c r="B1" s="16" t="s">
        <v>21</v>
      </c>
      <c r="C1" s="564" t="s">
        <v>173</v>
      </c>
      <c r="D1" s="564"/>
      <c r="E1" s="564"/>
      <c r="F1" s="564"/>
      <c r="G1" s="588"/>
      <c r="H1" s="588"/>
      <c r="I1" s="564"/>
      <c r="J1" s="564"/>
      <c r="K1" s="564"/>
      <c r="L1" s="564"/>
    </row>
    <row r="2" spans="1:12" x14ac:dyDescent="0.25">
      <c r="A2" s="1"/>
      <c r="B2" s="10"/>
      <c r="C2" s="10"/>
      <c r="D2" s="10"/>
      <c r="E2" s="10"/>
      <c r="F2" s="10"/>
      <c r="G2" s="10"/>
      <c r="H2" s="10"/>
    </row>
    <row r="3" spans="1:12" x14ac:dyDescent="0.25">
      <c r="A3" s="1"/>
      <c r="B3" s="101" t="s">
        <v>20</v>
      </c>
      <c r="C3" s="567" t="s">
        <v>173</v>
      </c>
      <c r="D3" s="589"/>
      <c r="E3" s="589"/>
      <c r="F3" s="589"/>
      <c r="G3" s="589"/>
      <c r="H3" s="589"/>
      <c r="I3" s="589"/>
      <c r="J3" s="589"/>
      <c r="K3" s="589"/>
      <c r="L3" s="570"/>
    </row>
    <row r="4" spans="1:12" x14ac:dyDescent="0.25">
      <c r="A4" s="1"/>
      <c r="B4" s="109"/>
      <c r="C4" s="131">
        <v>2015</v>
      </c>
      <c r="D4" s="131">
        <v>2020</v>
      </c>
      <c r="E4" s="131">
        <v>2030</v>
      </c>
      <c r="F4" s="131">
        <v>2050</v>
      </c>
      <c r="G4" s="567" t="s">
        <v>26</v>
      </c>
      <c r="H4" s="570"/>
      <c r="I4" s="567" t="s">
        <v>25</v>
      </c>
      <c r="J4" s="570"/>
      <c r="K4" s="131" t="s">
        <v>19</v>
      </c>
      <c r="L4" s="131" t="s">
        <v>18</v>
      </c>
    </row>
    <row r="5" spans="1:12" x14ac:dyDescent="0.25">
      <c r="A5" s="1"/>
      <c r="B5" s="101" t="s">
        <v>15</v>
      </c>
      <c r="C5" s="101"/>
      <c r="D5" s="101"/>
      <c r="E5" s="101"/>
      <c r="F5" s="101"/>
      <c r="G5" s="101" t="s">
        <v>17</v>
      </c>
      <c r="H5" s="101" t="s">
        <v>16</v>
      </c>
      <c r="I5" s="101" t="s">
        <v>17</v>
      </c>
      <c r="J5" s="101" t="s">
        <v>16</v>
      </c>
      <c r="K5" s="101"/>
      <c r="L5" s="101"/>
    </row>
    <row r="6" spans="1:12" ht="24" x14ac:dyDescent="0.25">
      <c r="A6" s="1"/>
      <c r="B6" s="109" t="s">
        <v>174</v>
      </c>
      <c r="C6" s="585">
        <v>1</v>
      </c>
      <c r="D6" s="586"/>
      <c r="E6" s="586"/>
      <c r="F6" s="587"/>
      <c r="G6" s="111"/>
      <c r="H6" s="111"/>
      <c r="I6" s="111"/>
      <c r="J6" s="111"/>
      <c r="K6" s="111" t="s">
        <v>89</v>
      </c>
      <c r="L6" s="111"/>
    </row>
    <row r="7" spans="1:12" x14ac:dyDescent="0.25">
      <c r="A7" s="1"/>
      <c r="B7" s="109"/>
      <c r="C7" s="585"/>
      <c r="D7" s="586"/>
      <c r="E7" s="586"/>
      <c r="F7" s="587"/>
      <c r="G7" s="111"/>
      <c r="H7" s="111"/>
      <c r="I7" s="111"/>
      <c r="J7" s="111"/>
      <c r="K7" s="111"/>
      <c r="L7" s="111"/>
    </row>
    <row r="8" spans="1:12" x14ac:dyDescent="0.25">
      <c r="A8" s="1"/>
      <c r="B8" s="114" t="s">
        <v>87</v>
      </c>
      <c r="C8" s="111"/>
      <c r="D8" s="111"/>
      <c r="E8" s="111"/>
      <c r="F8" s="111"/>
      <c r="G8" s="111"/>
      <c r="H8" s="111"/>
      <c r="I8" s="111"/>
      <c r="J8" s="111"/>
      <c r="K8" s="111"/>
      <c r="L8" s="111"/>
    </row>
    <row r="9" spans="1:12" ht="24" x14ac:dyDescent="0.25">
      <c r="A9" s="1"/>
      <c r="B9" s="115" t="s">
        <v>175</v>
      </c>
      <c r="C9" s="203" t="s">
        <v>176</v>
      </c>
      <c r="D9" s="203" t="s">
        <v>176</v>
      </c>
      <c r="E9" s="203" t="s">
        <v>176</v>
      </c>
      <c r="F9" s="203" t="s">
        <v>176</v>
      </c>
      <c r="G9" s="117"/>
      <c r="H9" s="117"/>
      <c r="I9" s="117"/>
      <c r="J9" s="117"/>
      <c r="K9" s="117" t="s">
        <v>177</v>
      </c>
      <c r="L9" s="117"/>
    </row>
    <row r="10" spans="1:12" x14ac:dyDescent="0.25">
      <c r="A10" s="1"/>
      <c r="B10" s="204" t="s">
        <v>178</v>
      </c>
      <c r="C10" s="181">
        <v>6529.1925465838513</v>
      </c>
      <c r="D10" s="181">
        <v>6529.1925465838513</v>
      </c>
      <c r="E10" s="181">
        <v>6529.1925465838513</v>
      </c>
      <c r="F10" s="181">
        <v>6529.1925465838513</v>
      </c>
      <c r="G10" s="117"/>
      <c r="H10" s="117"/>
      <c r="I10" s="117"/>
      <c r="J10" s="117"/>
      <c r="K10" s="117"/>
      <c r="L10" s="117">
        <v>5</v>
      </c>
    </row>
    <row r="11" spans="1:12" x14ac:dyDescent="0.25">
      <c r="A11" s="1"/>
      <c r="B11" s="115" t="s">
        <v>179</v>
      </c>
      <c r="C11" s="182">
        <v>7.6770186335403728E-3</v>
      </c>
      <c r="D11" s="182">
        <v>7.6770186335403728E-3</v>
      </c>
      <c r="E11" s="182">
        <v>7.6770186335403728E-3</v>
      </c>
      <c r="F11" s="182">
        <v>7.6770186335403728E-3</v>
      </c>
      <c r="G11" s="113"/>
      <c r="H11" s="113"/>
      <c r="I11" s="113"/>
      <c r="J11" s="113"/>
      <c r="K11" s="117"/>
      <c r="L11" s="195" t="s">
        <v>180</v>
      </c>
    </row>
    <row r="12" spans="1:12" x14ac:dyDescent="0.25">
      <c r="A12" s="1"/>
      <c r="B12" s="204" t="s">
        <v>181</v>
      </c>
      <c r="C12" s="184">
        <v>10.3</v>
      </c>
      <c r="D12" s="184">
        <v>10.3</v>
      </c>
      <c r="E12" s="184">
        <v>10.3</v>
      </c>
      <c r="F12" s="184">
        <v>10.3</v>
      </c>
      <c r="G12" s="113"/>
      <c r="H12" s="113"/>
      <c r="I12" s="113"/>
      <c r="J12" s="113"/>
      <c r="K12" s="117" t="s">
        <v>5</v>
      </c>
      <c r="L12" s="195"/>
    </row>
    <row r="13" spans="1:12" x14ac:dyDescent="0.25">
      <c r="A13" s="1"/>
      <c r="B13" s="205" t="s">
        <v>182</v>
      </c>
      <c r="C13" s="182">
        <v>1.3863354037267081E-2</v>
      </c>
      <c r="D13" s="182">
        <v>1.3863354037267081E-2</v>
      </c>
      <c r="E13" s="182">
        <v>1.3863354037267081E-2</v>
      </c>
      <c r="F13" s="182">
        <v>1.3863354037267081E-2</v>
      </c>
      <c r="G13" s="120"/>
      <c r="H13" s="120"/>
      <c r="I13" s="117"/>
      <c r="J13" s="117"/>
      <c r="K13" s="117"/>
      <c r="L13" s="112" t="s">
        <v>180</v>
      </c>
    </row>
    <row r="14" spans="1:12" x14ac:dyDescent="0.25">
      <c r="A14" s="1"/>
      <c r="B14" s="206" t="s">
        <v>183</v>
      </c>
      <c r="C14" s="184">
        <v>18.600000000000001</v>
      </c>
      <c r="D14" s="184">
        <v>18.600000000000001</v>
      </c>
      <c r="E14" s="184">
        <v>18.600000000000001</v>
      </c>
      <c r="F14" s="184">
        <v>18.600000000000001</v>
      </c>
      <c r="G14" s="117"/>
      <c r="H14" s="117"/>
      <c r="I14" s="117"/>
      <c r="J14" s="117"/>
      <c r="K14" s="119" t="s">
        <v>5</v>
      </c>
      <c r="L14" s="112"/>
    </row>
    <row r="15" spans="1:12" x14ac:dyDescent="0.25">
      <c r="A15" s="1"/>
      <c r="B15" s="113"/>
      <c r="C15" s="113"/>
      <c r="D15" s="113"/>
      <c r="E15" s="113"/>
      <c r="F15" s="113"/>
      <c r="G15" s="117"/>
      <c r="H15" s="117"/>
      <c r="I15" s="117"/>
      <c r="J15" s="117"/>
      <c r="K15" s="119"/>
      <c r="L15" s="113"/>
    </row>
    <row r="16" spans="1:12" x14ac:dyDescent="0.25">
      <c r="A16" s="1"/>
      <c r="B16" s="121" t="s">
        <v>95</v>
      </c>
      <c r="C16" s="122"/>
      <c r="D16" s="122"/>
      <c r="E16" s="123"/>
      <c r="F16" s="123"/>
      <c r="G16" s="117"/>
      <c r="H16" s="117"/>
      <c r="I16" s="117"/>
      <c r="J16" s="117"/>
      <c r="K16" s="117"/>
      <c r="L16" s="124"/>
    </row>
    <row r="17" spans="1:12" x14ac:dyDescent="0.25">
      <c r="A17" s="1"/>
      <c r="B17" s="125" t="s">
        <v>184</v>
      </c>
      <c r="C17" s="189">
        <v>1</v>
      </c>
      <c r="D17" s="189">
        <v>1</v>
      </c>
      <c r="E17" s="189">
        <v>1</v>
      </c>
      <c r="F17" s="189">
        <v>1</v>
      </c>
      <c r="G17" s="117"/>
      <c r="H17" s="117"/>
      <c r="I17" s="117"/>
      <c r="J17" s="117"/>
      <c r="K17" s="117" t="s">
        <v>153</v>
      </c>
      <c r="L17" s="127"/>
    </row>
    <row r="18" spans="1:12" x14ac:dyDescent="0.25">
      <c r="A18" s="1"/>
      <c r="B18" s="115" t="s">
        <v>185</v>
      </c>
      <c r="C18" s="122">
        <v>4.83</v>
      </c>
      <c r="D18" s="122">
        <v>4.83</v>
      </c>
      <c r="E18" s="122">
        <v>4.83</v>
      </c>
      <c r="F18" s="122">
        <v>4.83</v>
      </c>
      <c r="G18" s="117"/>
      <c r="H18" s="117"/>
      <c r="I18" s="117"/>
      <c r="J18" s="117"/>
      <c r="K18" s="117" t="s">
        <v>186</v>
      </c>
      <c r="L18" s="112" t="s">
        <v>187</v>
      </c>
    </row>
    <row r="19" spans="1:12" x14ac:dyDescent="0.25">
      <c r="A19" s="1"/>
      <c r="B19" s="115" t="s">
        <v>155</v>
      </c>
      <c r="C19" s="122"/>
      <c r="D19" s="122"/>
      <c r="E19" s="122"/>
      <c r="F19" s="122"/>
      <c r="G19" s="117"/>
      <c r="H19" s="117"/>
      <c r="I19" s="117"/>
      <c r="J19" s="117"/>
      <c r="K19" s="117" t="s">
        <v>2</v>
      </c>
      <c r="L19" s="113"/>
    </row>
    <row r="20" spans="1:12" x14ac:dyDescent="0.25">
      <c r="A20" s="1"/>
      <c r="B20" s="115"/>
      <c r="C20" s="122"/>
      <c r="D20" s="122"/>
      <c r="E20" s="122"/>
      <c r="F20" s="122"/>
      <c r="G20" s="111"/>
      <c r="H20" s="111"/>
      <c r="I20" s="111"/>
      <c r="J20" s="111"/>
      <c r="K20" s="117"/>
      <c r="L20" s="124"/>
    </row>
    <row r="21" spans="1:12" x14ac:dyDescent="0.25">
      <c r="A21" s="1"/>
      <c r="B21" s="115" t="s">
        <v>100</v>
      </c>
      <c r="C21" s="117">
        <v>0</v>
      </c>
      <c r="D21" s="117">
        <v>0</v>
      </c>
      <c r="E21" s="129">
        <v>0</v>
      </c>
      <c r="F21" s="130">
        <v>0</v>
      </c>
      <c r="G21" s="111"/>
      <c r="H21" s="111"/>
      <c r="I21" s="111"/>
      <c r="J21" s="111"/>
      <c r="K21" s="117"/>
      <c r="L21" s="124"/>
    </row>
    <row r="22" spans="1:12" x14ac:dyDescent="0.25">
      <c r="A22" s="1"/>
      <c r="B22" s="115" t="s">
        <v>101</v>
      </c>
      <c r="C22" s="117">
        <v>10</v>
      </c>
      <c r="D22" s="117">
        <v>10</v>
      </c>
      <c r="E22" s="117">
        <v>10</v>
      </c>
      <c r="F22" s="117">
        <v>10</v>
      </c>
      <c r="G22" s="111"/>
      <c r="H22" s="111"/>
      <c r="I22" s="111"/>
      <c r="J22" s="111"/>
      <c r="K22" s="117"/>
      <c r="L22" s="117"/>
    </row>
    <row r="23" spans="1:12" x14ac:dyDescent="0.25">
      <c r="A23" s="1"/>
      <c r="B23" s="109" t="s">
        <v>14</v>
      </c>
      <c r="C23" s="117">
        <v>20</v>
      </c>
      <c r="D23" s="117">
        <v>20</v>
      </c>
      <c r="E23" s="129">
        <v>20</v>
      </c>
      <c r="F23" s="130">
        <v>20</v>
      </c>
      <c r="G23" s="111"/>
      <c r="H23" s="111"/>
      <c r="I23" s="111"/>
      <c r="J23" s="111"/>
      <c r="K23" s="111"/>
      <c r="L23" s="111"/>
    </row>
    <row r="24" spans="1:12" x14ac:dyDescent="0.25">
      <c r="A24" s="1"/>
      <c r="B24" s="109" t="s">
        <v>12</v>
      </c>
      <c r="C24" s="117">
        <v>1</v>
      </c>
      <c r="D24" s="117">
        <v>1</v>
      </c>
      <c r="E24" s="129">
        <v>1</v>
      </c>
      <c r="F24" s="130">
        <v>1</v>
      </c>
      <c r="G24" s="137"/>
      <c r="H24" s="137"/>
      <c r="I24" s="137"/>
      <c r="J24" s="137"/>
      <c r="K24" s="111"/>
      <c r="L24" s="111"/>
    </row>
    <row r="25" spans="1:12" x14ac:dyDescent="0.25">
      <c r="A25" s="1"/>
      <c r="B25" s="109"/>
      <c r="C25" s="111"/>
      <c r="D25" s="111"/>
      <c r="E25" s="111"/>
      <c r="F25" s="111"/>
      <c r="G25" s="111"/>
      <c r="H25" s="111"/>
      <c r="I25" s="111"/>
      <c r="J25" s="111"/>
      <c r="K25" s="111"/>
      <c r="L25" s="111"/>
    </row>
    <row r="26" spans="1:12" x14ac:dyDescent="0.25">
      <c r="A26" s="1"/>
      <c r="B26" s="191" t="s">
        <v>9</v>
      </c>
      <c r="C26" s="207"/>
      <c r="D26" s="207"/>
      <c r="E26" s="207"/>
      <c r="F26" s="207"/>
      <c r="G26" s="111"/>
      <c r="H26" s="111"/>
      <c r="I26" s="111"/>
      <c r="J26" s="111"/>
      <c r="K26" s="131"/>
      <c r="L26" s="101"/>
    </row>
    <row r="27" spans="1:12" x14ac:dyDescent="0.25">
      <c r="A27" s="1"/>
      <c r="B27" s="115" t="s">
        <v>188</v>
      </c>
      <c r="C27" s="126">
        <v>276050.42016806721</v>
      </c>
      <c r="D27" s="126">
        <v>276050.42016806721</v>
      </c>
      <c r="E27" s="126">
        <v>276050.42016806721</v>
      </c>
      <c r="F27" s="126">
        <v>276050.42016806721</v>
      </c>
      <c r="G27" s="194"/>
      <c r="H27" s="194"/>
      <c r="I27" s="194"/>
      <c r="J27" s="194"/>
      <c r="K27" s="111" t="s">
        <v>189</v>
      </c>
      <c r="L27" s="112" t="s">
        <v>108</v>
      </c>
    </row>
    <row r="28" spans="1:12" x14ac:dyDescent="0.25">
      <c r="A28" s="1"/>
      <c r="B28" s="204" t="s">
        <v>190</v>
      </c>
      <c r="C28" s="136">
        <v>42.279411764705877</v>
      </c>
      <c r="D28" s="136">
        <v>42.279411764705877</v>
      </c>
      <c r="E28" s="136">
        <v>42.279411764705877</v>
      </c>
      <c r="F28" s="136">
        <v>42.279411764705877</v>
      </c>
      <c r="G28" s="111"/>
      <c r="H28" s="111"/>
      <c r="I28" s="111"/>
      <c r="J28" s="111"/>
      <c r="K28" s="111" t="s">
        <v>189</v>
      </c>
      <c r="L28" s="208"/>
    </row>
    <row r="29" spans="1:12" x14ac:dyDescent="0.25">
      <c r="A29" s="1"/>
      <c r="B29" s="115" t="s">
        <v>105</v>
      </c>
      <c r="C29" s="126">
        <f>C30*C10</f>
        <v>49500.2802219816</v>
      </c>
      <c r="D29" s="126">
        <f t="shared" ref="D29:F29" si="0">D30*D10</f>
        <v>49903.784321360479</v>
      </c>
      <c r="E29" s="126">
        <f t="shared" si="0"/>
        <v>52055.806184714507</v>
      </c>
      <c r="F29" s="126">
        <f t="shared" si="0"/>
        <v>53131.817116391525</v>
      </c>
      <c r="G29" s="146"/>
      <c r="H29" s="146"/>
      <c r="I29" s="113"/>
      <c r="J29" s="113"/>
      <c r="K29" s="111" t="s">
        <v>191</v>
      </c>
      <c r="L29" s="112" t="s">
        <v>108</v>
      </c>
    </row>
    <row r="30" spans="1:12" x14ac:dyDescent="0.25">
      <c r="A30" s="1"/>
      <c r="B30" s="204" t="s">
        <v>192</v>
      </c>
      <c r="C30" s="142">
        <f>C31+C32+C33</f>
        <v>7.5813785347593576</v>
      </c>
      <c r="D30" s="142">
        <f t="shared" ref="D30:F30" si="1">D31+D32+D33</f>
        <v>7.6431785347593575</v>
      </c>
      <c r="E30" s="142">
        <f t="shared" si="1"/>
        <v>7.9727785347593567</v>
      </c>
      <c r="F30" s="142">
        <f t="shared" si="1"/>
        <v>8.1375785347593563</v>
      </c>
      <c r="G30" s="143"/>
      <c r="H30" s="143"/>
      <c r="I30" s="113"/>
      <c r="J30" s="113"/>
      <c r="K30" s="111" t="s">
        <v>191</v>
      </c>
      <c r="L30" s="208"/>
    </row>
    <row r="31" spans="1:12" ht="24" x14ac:dyDescent="0.25">
      <c r="A31" s="1"/>
      <c r="B31" s="139" t="s">
        <v>109</v>
      </c>
      <c r="C31" s="142">
        <v>6.5224785347593564</v>
      </c>
      <c r="D31" s="142">
        <v>6.5224785347593564</v>
      </c>
      <c r="E31" s="142">
        <v>6.5224785347593564</v>
      </c>
      <c r="F31" s="142">
        <v>6.5224785347593564</v>
      </c>
      <c r="G31" s="143"/>
      <c r="H31" s="143"/>
      <c r="I31" s="113"/>
      <c r="J31" s="113"/>
      <c r="K31" s="111"/>
      <c r="L31" s="208"/>
    </row>
    <row r="32" spans="1:12" x14ac:dyDescent="0.25">
      <c r="A32" s="1"/>
      <c r="B32" s="139" t="s">
        <v>110</v>
      </c>
      <c r="C32" s="136">
        <f>63*C12/1000</f>
        <v>0.64890000000000014</v>
      </c>
      <c r="D32" s="136">
        <f>69*D12/1000</f>
        <v>0.7107</v>
      </c>
      <c r="E32" s="136">
        <f>101*E12/1000</f>
        <v>1.0403000000000002</v>
      </c>
      <c r="F32" s="136">
        <f>117*F12/1000</f>
        <v>1.2051000000000001</v>
      </c>
      <c r="G32" s="143"/>
      <c r="H32" s="143"/>
      <c r="I32" s="113"/>
      <c r="J32" s="113"/>
      <c r="K32" s="111" t="s">
        <v>111</v>
      </c>
      <c r="L32" s="208"/>
    </row>
    <row r="33" spans="1:13" x14ac:dyDescent="0.25">
      <c r="A33" s="1"/>
      <c r="B33" s="139" t="s">
        <v>112</v>
      </c>
      <c r="C33" s="136">
        <f>0.0220430107526882*C14</f>
        <v>0.41000000000000059</v>
      </c>
      <c r="D33" s="136">
        <f t="shared" ref="D33:F33" si="2">0.0220430107526882*D14</f>
        <v>0.41000000000000059</v>
      </c>
      <c r="E33" s="136">
        <f t="shared" si="2"/>
        <v>0.41000000000000059</v>
      </c>
      <c r="F33" s="136">
        <f t="shared" si="2"/>
        <v>0.41000000000000059</v>
      </c>
      <c r="G33" s="143"/>
      <c r="H33" s="143"/>
      <c r="I33" s="113"/>
      <c r="J33" s="113"/>
      <c r="K33" s="111"/>
      <c r="L33" s="208"/>
    </row>
    <row r="34" spans="1:13" x14ac:dyDescent="0.25">
      <c r="A34" s="1"/>
      <c r="B34" s="109"/>
      <c r="C34" s="209"/>
      <c r="D34" s="209"/>
      <c r="E34" s="210"/>
      <c r="F34" s="210"/>
      <c r="G34" s="146"/>
      <c r="H34" s="146"/>
      <c r="I34" s="113"/>
      <c r="J34" s="113"/>
      <c r="K34" s="119"/>
      <c r="L34" s="112"/>
    </row>
    <row r="35" spans="1:13" x14ac:dyDescent="0.25">
      <c r="A35" s="1"/>
      <c r="B35" s="196" t="s">
        <v>113</v>
      </c>
      <c r="C35" s="142"/>
      <c r="D35" s="142"/>
      <c r="E35" s="142"/>
      <c r="F35" s="142"/>
      <c r="G35" s="143"/>
      <c r="H35" s="143"/>
      <c r="I35" s="113"/>
      <c r="J35" s="113"/>
      <c r="K35" s="119"/>
      <c r="L35" s="195"/>
    </row>
    <row r="36" spans="1:13" x14ac:dyDescent="0.25">
      <c r="A36" s="1"/>
      <c r="B36" s="115" t="s">
        <v>161</v>
      </c>
      <c r="C36" s="142">
        <v>4</v>
      </c>
      <c r="D36" s="142">
        <v>4.4000000000000004</v>
      </c>
      <c r="E36" s="142">
        <v>4.4000000000000004</v>
      </c>
      <c r="F36" s="142">
        <v>4.4000000000000004</v>
      </c>
      <c r="G36" s="146">
        <v>1.8</v>
      </c>
      <c r="H36" s="146">
        <v>9.1999999999999993</v>
      </c>
      <c r="I36" s="146">
        <v>1.8</v>
      </c>
      <c r="J36" s="146">
        <v>9.1999999999999993</v>
      </c>
      <c r="K36" s="119" t="s">
        <v>42</v>
      </c>
      <c r="L36" s="195" t="s">
        <v>115</v>
      </c>
    </row>
    <row r="37" spans="1:13" hidden="1" x14ac:dyDescent="0.25">
      <c r="A37" s="1"/>
      <c r="C37" s="100"/>
      <c r="D37" s="211"/>
      <c r="E37" s="211"/>
      <c r="F37" s="211"/>
      <c r="G37" s="211"/>
      <c r="H37" s="92"/>
      <c r="I37" s="92"/>
      <c r="J37" s="10"/>
      <c r="K37" s="10"/>
      <c r="L37" s="212"/>
      <c r="M37" s="213"/>
    </row>
    <row r="38" spans="1:13" hidden="1" x14ac:dyDescent="0.25">
      <c r="A38" s="562"/>
      <c r="B38" s="562"/>
      <c r="C38" s="562"/>
      <c r="D38" s="562"/>
      <c r="E38" s="562"/>
      <c r="F38" s="562"/>
      <c r="G38" s="562"/>
      <c r="H38" s="562"/>
      <c r="I38" s="562"/>
      <c r="J38" s="100"/>
      <c r="K38" s="147"/>
      <c r="L38" s="562"/>
      <c r="M38" s="562"/>
    </row>
    <row r="39" spans="1:13" hidden="1" x14ac:dyDescent="0.25">
      <c r="A39" s="147"/>
      <c r="C39" s="562"/>
      <c r="D39" s="562"/>
      <c r="E39" s="562"/>
      <c r="F39" s="562"/>
      <c r="G39" s="562"/>
      <c r="H39" s="562"/>
      <c r="I39" s="562"/>
      <c r="J39" s="562"/>
      <c r="K39" s="562"/>
      <c r="L39" s="562"/>
      <c r="M39" s="562"/>
    </row>
    <row r="40" spans="1:13" hidden="1" x14ac:dyDescent="0.25">
      <c r="A40" s="147"/>
      <c r="B40" s="562"/>
      <c r="C40" s="562"/>
      <c r="D40" s="562"/>
      <c r="E40" s="562"/>
      <c r="F40" s="562"/>
      <c r="G40" s="562"/>
      <c r="H40" s="562"/>
      <c r="I40" s="562"/>
      <c r="J40" s="562"/>
      <c r="K40" s="147"/>
      <c r="L40" s="562"/>
      <c r="M40" s="562"/>
    </row>
    <row r="41" spans="1:13" hidden="1" x14ac:dyDescent="0.25">
      <c r="A41" s="174"/>
      <c r="C41" s="562"/>
      <c r="D41" s="562"/>
      <c r="E41" s="562"/>
      <c r="F41" s="562"/>
      <c r="G41" s="562"/>
      <c r="H41" s="562"/>
      <c r="I41" s="562"/>
      <c r="J41" s="562"/>
      <c r="K41" s="562"/>
      <c r="L41" s="562"/>
      <c r="M41" s="562"/>
    </row>
    <row r="42" spans="1:13" hidden="1" x14ac:dyDescent="0.25">
      <c r="A42" s="174"/>
      <c r="B42" s="562"/>
      <c r="C42" s="562"/>
      <c r="D42" s="562"/>
      <c r="E42" s="562"/>
      <c r="F42" s="562"/>
      <c r="G42" s="562"/>
      <c r="H42" s="562"/>
      <c r="I42" s="562"/>
      <c r="J42" s="562"/>
      <c r="K42" s="147"/>
      <c r="L42" s="562"/>
      <c r="M42" s="562"/>
    </row>
    <row r="43" spans="1:13" hidden="1" x14ac:dyDescent="0.25">
      <c r="A43" s="147"/>
      <c r="B43" s="201"/>
      <c r="C43" s="100"/>
      <c r="D43" s="100"/>
      <c r="E43" s="100"/>
      <c r="F43" s="100"/>
      <c r="G43" s="100"/>
      <c r="H43" s="100"/>
      <c r="I43" s="100"/>
      <c r="J43" s="100"/>
      <c r="K43" s="147"/>
      <c r="L43" s="562"/>
      <c r="M43" s="562"/>
    </row>
    <row r="44" spans="1:13" hidden="1" x14ac:dyDescent="0.25">
      <c r="A44" s="147"/>
      <c r="B44" s="100"/>
      <c r="C44" s="100"/>
      <c r="D44" s="100"/>
      <c r="E44" s="100"/>
      <c r="F44" s="100"/>
      <c r="G44" s="100"/>
      <c r="H44" s="100"/>
      <c r="I44" s="100"/>
      <c r="J44" s="100"/>
      <c r="K44" s="147"/>
      <c r="L44" s="562"/>
      <c r="M44" s="562"/>
    </row>
    <row r="45" spans="1:13" x14ac:dyDescent="0.25">
      <c r="A45" s="562"/>
      <c r="B45" s="562"/>
      <c r="C45" s="149"/>
      <c r="D45" s="149"/>
      <c r="E45" s="149"/>
      <c r="F45" s="149"/>
      <c r="G45" s="149"/>
      <c r="H45" s="149"/>
      <c r="I45" s="149"/>
      <c r="J45" s="149"/>
      <c r="K45" s="147"/>
      <c r="L45" s="562"/>
      <c r="M45" s="562"/>
    </row>
    <row r="46" spans="1:13" x14ac:dyDescent="0.25">
      <c r="A46" s="583" t="s">
        <v>6</v>
      </c>
      <c r="B46" s="583"/>
      <c r="C46" s="149"/>
      <c r="D46" s="149"/>
      <c r="E46" s="149"/>
      <c r="F46" s="149"/>
      <c r="G46" s="149"/>
      <c r="H46" s="149"/>
      <c r="I46" s="149"/>
      <c r="J46" s="149"/>
      <c r="K46" s="147"/>
      <c r="L46" s="562"/>
      <c r="M46" s="562"/>
    </row>
    <row r="47" spans="1:13" x14ac:dyDescent="0.25">
      <c r="A47" s="150" t="s">
        <v>5</v>
      </c>
      <c r="B47" s="506" t="s">
        <v>811</v>
      </c>
      <c r="C47" s="506"/>
      <c r="D47" s="506"/>
      <c r="E47" s="506"/>
      <c r="F47" s="506"/>
      <c r="G47" s="506"/>
      <c r="H47" s="506"/>
      <c r="I47" s="506"/>
      <c r="J47" s="506"/>
      <c r="K47" s="506"/>
      <c r="L47" s="506"/>
      <c r="M47" s="506"/>
    </row>
    <row r="48" spans="1:13" ht="15" customHeight="1" x14ac:dyDescent="0.25">
      <c r="A48" s="150" t="s">
        <v>4</v>
      </c>
      <c r="B48" s="506" t="s">
        <v>166</v>
      </c>
      <c r="C48" s="506"/>
      <c r="D48" s="506"/>
      <c r="E48" s="506"/>
      <c r="F48" s="506"/>
      <c r="G48" s="506"/>
      <c r="H48" s="506"/>
      <c r="I48" s="506"/>
      <c r="J48" s="506"/>
      <c r="K48" s="506"/>
      <c r="L48" s="506"/>
      <c r="M48" s="506"/>
    </row>
    <row r="49" spans="1:13" x14ac:dyDescent="0.25">
      <c r="A49" s="150" t="s">
        <v>3</v>
      </c>
      <c r="B49" s="505" t="s">
        <v>167</v>
      </c>
      <c r="C49" s="505"/>
      <c r="D49" s="505"/>
      <c r="E49" s="505"/>
      <c r="F49" s="505"/>
      <c r="G49" s="505"/>
      <c r="H49" s="505"/>
      <c r="I49" s="505"/>
      <c r="J49" s="505"/>
      <c r="K49" s="505"/>
      <c r="L49" s="505"/>
      <c r="M49" s="505"/>
    </row>
    <row r="50" spans="1:13" ht="15" customHeight="1" x14ac:dyDescent="0.25">
      <c r="A50" s="150" t="s">
        <v>2</v>
      </c>
      <c r="B50" s="500" t="s">
        <v>168</v>
      </c>
      <c r="C50" s="506"/>
      <c r="D50" s="506"/>
      <c r="E50" s="506"/>
      <c r="F50" s="506"/>
      <c r="G50" s="506"/>
      <c r="H50" s="506"/>
      <c r="I50" s="506"/>
      <c r="J50" s="506"/>
      <c r="K50" s="506"/>
      <c r="L50" s="506"/>
      <c r="M50" s="506"/>
    </row>
    <row r="51" spans="1:13" ht="15" customHeight="1" x14ac:dyDescent="0.25">
      <c r="A51" s="150" t="s">
        <v>1</v>
      </c>
      <c r="B51" s="506" t="s">
        <v>169</v>
      </c>
      <c r="C51" s="506"/>
      <c r="D51" s="506"/>
      <c r="E51" s="506"/>
      <c r="F51" s="506"/>
      <c r="G51" s="506"/>
      <c r="H51" s="506"/>
      <c r="I51" s="506"/>
      <c r="J51" s="506"/>
      <c r="K51" s="147"/>
      <c r="L51" s="91"/>
      <c r="M51" s="91"/>
    </row>
    <row r="52" spans="1:13" ht="15" customHeight="1" x14ac:dyDescent="0.25">
      <c r="A52" s="150" t="s">
        <v>0</v>
      </c>
      <c r="B52" s="506" t="s">
        <v>193</v>
      </c>
      <c r="C52" s="506"/>
      <c r="D52" s="506"/>
      <c r="E52" s="506"/>
      <c r="F52" s="506"/>
      <c r="G52" s="506"/>
      <c r="H52" s="506"/>
      <c r="I52" s="506"/>
      <c r="J52" s="506"/>
      <c r="K52" s="506"/>
      <c r="L52" s="506"/>
      <c r="M52" s="506"/>
    </row>
    <row r="53" spans="1:13" ht="15" customHeight="1" x14ac:dyDescent="0.25">
      <c r="A53" s="150" t="s">
        <v>41</v>
      </c>
      <c r="B53" s="91" t="s">
        <v>171</v>
      </c>
      <c r="C53" s="91"/>
      <c r="D53" s="91"/>
      <c r="E53" s="91"/>
      <c r="F53" s="91"/>
      <c r="G53" s="91"/>
      <c r="H53" s="91"/>
      <c r="I53" s="91"/>
      <c r="J53" s="91"/>
      <c r="K53" s="91"/>
      <c r="L53" s="91"/>
      <c r="M53" s="91"/>
    </row>
    <row r="54" spans="1:13" ht="15" customHeight="1" x14ac:dyDescent="0.25">
      <c r="A54" s="150" t="s">
        <v>42</v>
      </c>
      <c r="B54" s="91" t="s">
        <v>172</v>
      </c>
      <c r="C54" s="91"/>
      <c r="D54" s="91"/>
      <c r="E54" s="91"/>
      <c r="F54" s="91"/>
      <c r="G54" s="91"/>
      <c r="H54" s="91"/>
      <c r="I54" s="91"/>
      <c r="J54" s="91"/>
      <c r="K54" s="91"/>
      <c r="L54" s="507"/>
      <c r="M54" s="507"/>
    </row>
    <row r="55" spans="1:13" ht="15" customHeight="1" x14ac:dyDescent="0.25">
      <c r="A55" s="150" t="s">
        <v>99</v>
      </c>
      <c r="B55" s="505" t="s">
        <v>194</v>
      </c>
      <c r="C55" s="505"/>
      <c r="D55" s="505"/>
      <c r="E55" s="505"/>
      <c r="F55" s="505"/>
      <c r="G55" s="505"/>
      <c r="H55" s="505"/>
      <c r="I55" s="505"/>
      <c r="J55" s="505"/>
      <c r="K55" s="507"/>
      <c r="L55" s="507"/>
      <c r="M55" s="507"/>
    </row>
    <row r="56" spans="1:13" ht="15" customHeight="1" x14ac:dyDescent="0.25">
      <c r="A56" s="150" t="s">
        <v>111</v>
      </c>
      <c r="B56" s="321" t="s">
        <v>138</v>
      </c>
      <c r="C56" s="321"/>
      <c r="D56" s="321"/>
      <c r="E56" s="321"/>
      <c r="F56" s="321"/>
      <c r="G56" s="321"/>
      <c r="H56" s="321"/>
      <c r="I56" s="321"/>
      <c r="J56" s="321"/>
      <c r="K56" s="321"/>
      <c r="L56" s="321"/>
      <c r="M56" s="500"/>
    </row>
    <row r="57" spans="1:13" x14ac:dyDescent="0.25">
      <c r="A57" s="150" t="s">
        <v>177</v>
      </c>
      <c r="B57" s="214" t="s">
        <v>195</v>
      </c>
      <c r="C57" s="214"/>
      <c r="D57" s="214"/>
      <c r="E57" s="214"/>
      <c r="F57" s="214"/>
      <c r="G57" s="214"/>
      <c r="H57" s="214"/>
      <c r="I57" s="214"/>
      <c r="J57" s="214"/>
      <c r="K57" s="214"/>
      <c r="L57" s="214"/>
      <c r="M57" s="500"/>
    </row>
    <row r="58" spans="1:13" x14ac:dyDescent="0.25">
      <c r="B58" s="214" t="s">
        <v>196</v>
      </c>
      <c r="C58" s="214"/>
      <c r="D58" s="214"/>
      <c r="E58" s="214"/>
      <c r="F58" s="214"/>
      <c r="G58" s="214"/>
      <c r="H58" s="214"/>
      <c r="I58" s="214"/>
      <c r="J58" s="214"/>
      <c r="K58" s="214"/>
      <c r="L58" s="214"/>
      <c r="M58" s="500"/>
    </row>
    <row r="59" spans="1:13" x14ac:dyDescent="0.25">
      <c r="C59" s="214"/>
      <c r="D59" s="498"/>
      <c r="E59" s="498"/>
      <c r="F59" s="498"/>
      <c r="G59" s="498"/>
      <c r="H59" s="498"/>
      <c r="I59" s="498"/>
      <c r="J59" s="498"/>
      <c r="K59" s="498"/>
      <c r="L59" s="498"/>
      <c r="M59" s="498"/>
    </row>
    <row r="60" spans="1:13" x14ac:dyDescent="0.25">
      <c r="A60" s="148" t="s">
        <v>28</v>
      </c>
    </row>
    <row r="61" spans="1:13" x14ac:dyDescent="0.25">
      <c r="A61" s="1">
        <v>5</v>
      </c>
      <c r="B61" s="499" t="s">
        <v>139</v>
      </c>
      <c r="C61" s="499"/>
      <c r="D61" s="499"/>
      <c r="E61" s="499"/>
      <c r="F61" s="499"/>
      <c r="G61" s="499"/>
      <c r="H61" s="499"/>
      <c r="I61" s="499"/>
      <c r="J61" s="499"/>
    </row>
    <row r="62" spans="1:13" x14ac:dyDescent="0.25">
      <c r="A62" s="1">
        <v>8</v>
      </c>
      <c r="B62" s="499" t="s">
        <v>140</v>
      </c>
      <c r="C62" s="499"/>
      <c r="D62" s="499"/>
      <c r="E62" s="499"/>
      <c r="F62" s="499"/>
      <c r="G62" s="499"/>
      <c r="H62" s="499"/>
    </row>
    <row r="63" spans="1:13" x14ac:dyDescent="0.25">
      <c r="A63" s="1">
        <v>9</v>
      </c>
      <c r="B63" s="499" t="s">
        <v>141</v>
      </c>
      <c r="C63" s="499"/>
      <c r="D63" s="499"/>
      <c r="E63" s="499"/>
      <c r="F63" s="499"/>
      <c r="G63" s="499"/>
      <c r="H63" s="499"/>
      <c r="I63" s="499"/>
      <c r="J63" s="499"/>
    </row>
    <row r="64" spans="1:13" x14ac:dyDescent="0.25">
      <c r="A64" s="1">
        <v>12</v>
      </c>
      <c r="B64" s="499" t="s">
        <v>142</v>
      </c>
      <c r="C64" s="499"/>
      <c r="D64" s="499"/>
      <c r="E64" s="499"/>
      <c r="F64" s="499"/>
      <c r="G64" s="499"/>
      <c r="H64" s="499"/>
      <c r="I64" s="499"/>
      <c r="J64" s="499"/>
    </row>
  </sheetData>
  <mergeCells count="22">
    <mergeCell ref="C41:K41"/>
    <mergeCell ref="L41:M41"/>
    <mergeCell ref="B42:J42"/>
    <mergeCell ref="L42:M42"/>
    <mergeCell ref="L43:M43"/>
    <mergeCell ref="L44:M44"/>
    <mergeCell ref="A45:B45"/>
    <mergeCell ref="L45:M45"/>
    <mergeCell ref="A46:B46"/>
    <mergeCell ref="L46:M46"/>
    <mergeCell ref="A38:I38"/>
    <mergeCell ref="L38:M38"/>
    <mergeCell ref="C39:K39"/>
    <mergeCell ref="L39:M39"/>
    <mergeCell ref="B40:J40"/>
    <mergeCell ref="L40:M40"/>
    <mergeCell ref="C7:F7"/>
    <mergeCell ref="C1:L1"/>
    <mergeCell ref="C3:L3"/>
    <mergeCell ref="G4:H4"/>
    <mergeCell ref="I4:J4"/>
    <mergeCell ref="C6:F6"/>
  </mergeCells>
  <hyperlinks>
    <hyperlink ref="G1" location="Index" display="Back to Index"/>
    <hyperlink ref="H1" location="Index" display="Back to Index"/>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70"/>
  <sheetViews>
    <sheetView showGridLines="0" workbookViewId="0">
      <selection activeCell="C51" sqref="C51"/>
    </sheetView>
  </sheetViews>
  <sheetFormatPr defaultRowHeight="15" x14ac:dyDescent="0.25"/>
  <cols>
    <col min="1" max="1" width="3.42578125" customWidth="1"/>
    <col min="2" max="2" width="41" customWidth="1"/>
    <col min="3" max="10" width="9.5703125" customWidth="1"/>
    <col min="11" max="11" width="9.7109375" bestFit="1" customWidth="1"/>
    <col min="12" max="12" width="9.28515625" customWidth="1"/>
    <col min="13" max="13" width="9" bestFit="1" customWidth="1"/>
    <col min="14" max="14" width="9.42578125" customWidth="1"/>
    <col min="15" max="15" width="7.28515625" customWidth="1"/>
    <col min="16" max="16" width="12.85546875" customWidth="1"/>
  </cols>
  <sheetData>
    <row r="1" spans="1:12" ht="20.25" customHeight="1" x14ac:dyDescent="0.3">
      <c r="A1" s="5"/>
      <c r="B1" s="16" t="s">
        <v>21</v>
      </c>
      <c r="C1" s="564" t="s">
        <v>197</v>
      </c>
      <c r="D1" s="566"/>
      <c r="E1" s="566"/>
      <c r="F1" s="566"/>
      <c r="G1" s="566"/>
      <c r="H1" s="565"/>
      <c r="I1" s="566"/>
      <c r="J1" s="566"/>
      <c r="K1" s="566"/>
      <c r="L1" s="215"/>
    </row>
    <row r="2" spans="1:12" ht="20.25" customHeight="1" x14ac:dyDescent="0.3">
      <c r="A2" s="5"/>
      <c r="B2" s="16"/>
      <c r="C2" s="501"/>
      <c r="D2" s="502"/>
      <c r="E2" s="502"/>
      <c r="F2" s="502"/>
      <c r="G2" s="502"/>
      <c r="H2" s="502"/>
      <c r="I2" s="502"/>
      <c r="J2" s="502"/>
      <c r="K2" s="502"/>
      <c r="L2" s="215"/>
    </row>
    <row r="3" spans="1:12" x14ac:dyDescent="0.25">
      <c r="A3" s="5"/>
      <c r="B3" s="101" t="s">
        <v>20</v>
      </c>
      <c r="C3" s="567" t="s">
        <v>197</v>
      </c>
      <c r="D3" s="568"/>
      <c r="E3" s="568"/>
      <c r="F3" s="568"/>
      <c r="G3" s="568"/>
      <c r="H3" s="568"/>
      <c r="I3" s="568"/>
      <c r="J3" s="568"/>
      <c r="K3" s="568"/>
      <c r="L3" s="569"/>
    </row>
    <row r="4" spans="1:12" x14ac:dyDescent="0.25">
      <c r="A4" s="5"/>
      <c r="B4" s="102"/>
      <c r="C4" s="103">
        <v>2015</v>
      </c>
      <c r="D4" s="103">
        <v>2020</v>
      </c>
      <c r="E4" s="103">
        <v>2030</v>
      </c>
      <c r="F4" s="103">
        <v>2050</v>
      </c>
      <c r="G4" s="567" t="s">
        <v>26</v>
      </c>
      <c r="H4" s="570"/>
      <c r="I4" s="567" t="s">
        <v>25</v>
      </c>
      <c r="J4" s="570"/>
      <c r="K4" s="103" t="s">
        <v>19</v>
      </c>
      <c r="L4" s="103" t="s">
        <v>18</v>
      </c>
    </row>
    <row r="5" spans="1:12" x14ac:dyDescent="0.25">
      <c r="A5" s="5"/>
      <c r="B5" s="216" t="s">
        <v>15</v>
      </c>
      <c r="C5" s="217"/>
      <c r="D5" s="217"/>
      <c r="E5" s="217"/>
      <c r="F5" s="217"/>
      <c r="G5" s="217" t="s">
        <v>17</v>
      </c>
      <c r="H5" s="217" t="s">
        <v>16</v>
      </c>
      <c r="I5" s="217" t="s">
        <v>17</v>
      </c>
      <c r="J5" s="217" t="s">
        <v>16</v>
      </c>
      <c r="K5" s="217"/>
      <c r="L5" s="218"/>
    </row>
    <row r="6" spans="1:12" x14ac:dyDescent="0.25">
      <c r="A6" s="5"/>
      <c r="B6" s="109" t="s">
        <v>198</v>
      </c>
      <c r="C6" s="128">
        <v>5.92218</v>
      </c>
      <c r="D6" s="128">
        <v>5.92218</v>
      </c>
      <c r="E6" s="128">
        <v>5.92218</v>
      </c>
      <c r="F6" s="128">
        <v>5.92218</v>
      </c>
      <c r="G6" s="111"/>
      <c r="H6" s="111"/>
      <c r="I6" s="111"/>
      <c r="J6" s="111"/>
      <c r="K6" s="111" t="s">
        <v>199</v>
      </c>
      <c r="L6" s="111"/>
    </row>
    <row r="7" spans="1:12" x14ac:dyDescent="0.25">
      <c r="A7" s="5"/>
      <c r="B7" s="109" t="s">
        <v>200</v>
      </c>
      <c r="C7" s="219">
        <v>1000</v>
      </c>
      <c r="D7" s="219">
        <v>1000</v>
      </c>
      <c r="E7" s="111">
        <v>1000</v>
      </c>
      <c r="F7" s="111">
        <v>1000</v>
      </c>
      <c r="G7" s="111"/>
      <c r="H7" s="111"/>
      <c r="I7" s="111"/>
      <c r="J7" s="111"/>
      <c r="K7" s="111" t="s">
        <v>89</v>
      </c>
      <c r="L7" s="112" t="s">
        <v>201</v>
      </c>
    </row>
    <row r="8" spans="1:12" x14ac:dyDescent="0.25">
      <c r="A8" s="5"/>
      <c r="B8" s="220" t="s">
        <v>202</v>
      </c>
      <c r="C8" s="219">
        <v>594</v>
      </c>
      <c r="D8" s="219">
        <v>594</v>
      </c>
      <c r="E8" s="219">
        <v>594</v>
      </c>
      <c r="F8" s="219">
        <v>594</v>
      </c>
      <c r="G8" s="111"/>
      <c r="H8" s="111"/>
      <c r="I8" s="111"/>
      <c r="J8" s="111"/>
      <c r="K8" s="111" t="s">
        <v>89</v>
      </c>
      <c r="L8" s="111"/>
    </row>
    <row r="9" spans="1:12" x14ac:dyDescent="0.25">
      <c r="A9" s="5"/>
      <c r="B9" s="221"/>
      <c r="C9" s="221"/>
      <c r="D9" s="221"/>
      <c r="E9" s="221"/>
      <c r="F9" s="221"/>
      <c r="G9" s="221"/>
      <c r="H9" s="221"/>
      <c r="I9" s="221"/>
      <c r="J9" s="221"/>
      <c r="K9" s="221"/>
      <c r="L9" s="221"/>
    </row>
    <row r="10" spans="1:12" x14ac:dyDescent="0.25">
      <c r="A10" s="5"/>
      <c r="B10" s="114" t="s">
        <v>87</v>
      </c>
      <c r="C10" s="111"/>
      <c r="D10" s="111"/>
      <c r="E10" s="111"/>
      <c r="F10" s="111"/>
      <c r="G10" s="111"/>
      <c r="H10" s="111"/>
      <c r="I10" s="111"/>
      <c r="J10" s="111"/>
      <c r="K10" s="111"/>
      <c r="L10" s="111"/>
    </row>
    <row r="11" spans="1:12" x14ac:dyDescent="0.25">
      <c r="A11" s="5"/>
      <c r="B11" s="109" t="s">
        <v>203</v>
      </c>
      <c r="C11" s="222">
        <v>1</v>
      </c>
      <c r="D11" s="223">
        <v>100</v>
      </c>
      <c r="E11" s="223">
        <v>100</v>
      </c>
      <c r="F11" s="223">
        <v>100</v>
      </c>
      <c r="G11" s="111"/>
      <c r="H11" s="111"/>
      <c r="I11" s="111"/>
      <c r="J11" s="111"/>
      <c r="K11" s="111"/>
      <c r="L11" s="111"/>
    </row>
    <row r="12" spans="1:12" ht="24" x14ac:dyDescent="0.25">
      <c r="A12" s="5"/>
      <c r="B12" s="109" t="s">
        <v>204</v>
      </c>
      <c r="C12" s="224">
        <v>4.3129388164493486E-2</v>
      </c>
      <c r="D12" s="224">
        <v>4.3129388164493486E-2</v>
      </c>
      <c r="E12" s="224">
        <v>2.1564694082246743E-2</v>
      </c>
      <c r="F12" s="224">
        <v>2.1564694082246743E-2</v>
      </c>
      <c r="G12" s="222">
        <v>3.2347041123370113E-2</v>
      </c>
      <c r="H12" s="225">
        <v>4.3129388164493486E-2</v>
      </c>
      <c r="I12" s="224">
        <v>1.6173520561685056E-2</v>
      </c>
      <c r="J12" s="224">
        <v>3.2347041123370113E-2</v>
      </c>
      <c r="K12" s="111" t="s">
        <v>205</v>
      </c>
      <c r="L12" s="112" t="s">
        <v>206</v>
      </c>
    </row>
    <row r="13" spans="1:12" x14ac:dyDescent="0.25">
      <c r="A13" s="5"/>
      <c r="B13" s="220" t="s">
        <v>207</v>
      </c>
      <c r="C13" s="224">
        <v>1.0030090270812439E-2</v>
      </c>
      <c r="D13" s="224">
        <v>1.0030090270812439E-2</v>
      </c>
      <c r="E13" s="224">
        <v>1.0030090270812439E-2</v>
      </c>
      <c r="F13" s="224">
        <v>1.0030090270812439E-2</v>
      </c>
      <c r="G13" s="221"/>
      <c r="H13" s="221"/>
      <c r="I13" s="221"/>
      <c r="J13" s="221"/>
      <c r="K13" s="226" t="s">
        <v>208</v>
      </c>
      <c r="L13" s="112" t="s">
        <v>209</v>
      </c>
    </row>
    <row r="14" spans="1:12" x14ac:dyDescent="0.25">
      <c r="A14" s="5"/>
      <c r="B14" s="220" t="s">
        <v>210</v>
      </c>
      <c r="C14" s="224">
        <v>0</v>
      </c>
      <c r="D14" s="224">
        <v>0</v>
      </c>
      <c r="E14" s="224">
        <v>0</v>
      </c>
      <c r="F14" s="224">
        <v>0</v>
      </c>
      <c r="G14" s="221"/>
      <c r="H14" s="221"/>
      <c r="I14" s="221"/>
      <c r="J14" s="221"/>
      <c r="K14" s="226"/>
      <c r="L14" s="112" t="s">
        <v>209</v>
      </c>
    </row>
    <row r="15" spans="1:12" x14ac:dyDescent="0.25">
      <c r="A15" s="5"/>
      <c r="B15" s="109"/>
      <c r="C15" s="227"/>
      <c r="D15" s="227"/>
      <c r="E15" s="227"/>
      <c r="F15" s="227"/>
      <c r="G15" s="228"/>
      <c r="H15" s="228"/>
      <c r="I15" s="111"/>
      <c r="J15" s="111"/>
      <c r="K15" s="111"/>
      <c r="L15" s="111"/>
    </row>
    <row r="16" spans="1:12" x14ac:dyDescent="0.25">
      <c r="A16" s="5"/>
      <c r="B16" s="114" t="s">
        <v>95</v>
      </c>
      <c r="C16" s="229"/>
      <c r="D16" s="229"/>
      <c r="E16" s="229"/>
      <c r="F16" s="229"/>
      <c r="G16" s="111"/>
      <c r="H16" s="111"/>
      <c r="I16" s="111"/>
      <c r="J16" s="111"/>
      <c r="K16" s="111"/>
      <c r="L16" s="230"/>
    </row>
    <row r="17" spans="1:12" x14ac:dyDescent="0.25">
      <c r="A17" s="5"/>
      <c r="B17" s="231" t="s">
        <v>211</v>
      </c>
      <c r="C17" s="232">
        <v>0.99</v>
      </c>
      <c r="D17" s="227">
        <v>0.99</v>
      </c>
      <c r="E17" s="227">
        <v>1</v>
      </c>
      <c r="F17" s="227">
        <v>1</v>
      </c>
      <c r="G17" s="111"/>
      <c r="H17" s="111"/>
      <c r="I17" s="111"/>
      <c r="J17" s="111"/>
      <c r="K17" s="111" t="s">
        <v>135</v>
      </c>
      <c r="L17" s="112">
        <v>2</v>
      </c>
    </row>
    <row r="18" spans="1:12" x14ac:dyDescent="0.25">
      <c r="A18" s="5"/>
      <c r="B18" s="109" t="s">
        <v>212</v>
      </c>
      <c r="C18" s="227">
        <v>0.01</v>
      </c>
      <c r="D18" s="233">
        <v>0.01</v>
      </c>
      <c r="E18" s="234">
        <v>1E-3</v>
      </c>
      <c r="F18" s="234">
        <v>1E-3</v>
      </c>
      <c r="G18" s="111"/>
      <c r="H18" s="111"/>
      <c r="I18" s="111"/>
      <c r="J18" s="111"/>
      <c r="K18" s="111" t="s">
        <v>135</v>
      </c>
      <c r="L18" s="112"/>
    </row>
    <row r="19" spans="1:12" x14ac:dyDescent="0.25">
      <c r="A19" s="5"/>
      <c r="B19" s="109" t="s">
        <v>213</v>
      </c>
      <c r="C19" s="232">
        <v>5.2999999999999999E-2</v>
      </c>
      <c r="D19" s="234">
        <v>5.2999999999999999E-2</v>
      </c>
      <c r="E19" s="234">
        <v>3.2000000000000001E-2</v>
      </c>
      <c r="F19" s="234">
        <v>3.2000000000000001E-2</v>
      </c>
      <c r="G19" s="111"/>
      <c r="H19" s="111"/>
      <c r="I19" s="111"/>
      <c r="J19" s="111"/>
      <c r="K19" s="111"/>
      <c r="L19" s="112"/>
    </row>
    <row r="20" spans="1:12" x14ac:dyDescent="0.25">
      <c r="A20" s="5"/>
      <c r="B20" s="221"/>
      <c r="C20" s="215"/>
      <c r="D20" s="235"/>
      <c r="E20" s="235"/>
      <c r="F20" s="235"/>
      <c r="G20" s="111"/>
      <c r="H20" s="111"/>
      <c r="I20" s="111"/>
      <c r="J20" s="111"/>
      <c r="K20" s="111"/>
      <c r="L20" s="230"/>
    </row>
    <row r="21" spans="1:12" x14ac:dyDescent="0.25">
      <c r="A21" s="5"/>
      <c r="B21" s="109" t="s">
        <v>214</v>
      </c>
      <c r="C21" s="111">
        <v>1</v>
      </c>
      <c r="D21" s="111">
        <v>1</v>
      </c>
      <c r="E21" s="111">
        <v>1</v>
      </c>
      <c r="F21" s="111">
        <v>1</v>
      </c>
      <c r="G21" s="111"/>
      <c r="H21" s="111"/>
      <c r="I21" s="111"/>
      <c r="J21" s="111"/>
      <c r="K21" s="111"/>
      <c r="L21" s="230"/>
    </row>
    <row r="22" spans="1:12" x14ac:dyDescent="0.25">
      <c r="A22" s="5"/>
      <c r="B22" s="109" t="s">
        <v>24</v>
      </c>
      <c r="C22" s="111">
        <v>1</v>
      </c>
      <c r="D22" s="111">
        <v>1</v>
      </c>
      <c r="E22" s="111">
        <v>1</v>
      </c>
      <c r="F22" s="111">
        <v>1</v>
      </c>
      <c r="G22" s="111"/>
      <c r="H22" s="111"/>
      <c r="I22" s="111"/>
      <c r="J22" s="111"/>
      <c r="K22" s="111"/>
      <c r="L22" s="111"/>
    </row>
    <row r="23" spans="1:12" x14ac:dyDescent="0.25">
      <c r="A23" s="5"/>
      <c r="B23" s="109" t="s">
        <v>14</v>
      </c>
      <c r="C23" s="111">
        <v>15</v>
      </c>
      <c r="D23" s="111">
        <v>15</v>
      </c>
      <c r="E23" s="111">
        <v>15</v>
      </c>
      <c r="F23" s="111">
        <v>15</v>
      </c>
      <c r="G23" s="111"/>
      <c r="H23" s="111"/>
      <c r="I23" s="111"/>
      <c r="J23" s="111"/>
      <c r="K23" s="111"/>
      <c r="L23" s="111"/>
    </row>
    <row r="24" spans="1:12" x14ac:dyDescent="0.25">
      <c r="A24" s="5"/>
      <c r="B24" s="109" t="s">
        <v>12</v>
      </c>
      <c r="C24" s="111">
        <v>0.5</v>
      </c>
      <c r="D24" s="111">
        <v>0.5</v>
      </c>
      <c r="E24" s="111">
        <v>0.5</v>
      </c>
      <c r="F24" s="111">
        <v>0.5</v>
      </c>
      <c r="G24" s="111"/>
      <c r="H24" s="111"/>
      <c r="I24" s="111"/>
      <c r="J24" s="111"/>
      <c r="K24" s="111"/>
      <c r="L24" s="111"/>
    </row>
    <row r="25" spans="1:12" x14ac:dyDescent="0.25">
      <c r="A25" s="5"/>
      <c r="B25" s="109"/>
      <c r="C25" s="111"/>
      <c r="D25" s="111"/>
      <c r="E25" s="111"/>
      <c r="F25" s="111"/>
      <c r="G25" s="111"/>
      <c r="H25" s="111"/>
      <c r="I25" s="111"/>
      <c r="J25" s="111"/>
      <c r="K25" s="111"/>
      <c r="L25" s="111"/>
    </row>
    <row r="26" spans="1:12" x14ac:dyDescent="0.25">
      <c r="A26" s="5"/>
      <c r="B26" s="101" t="s">
        <v>9</v>
      </c>
      <c r="C26" s="101"/>
      <c r="D26" s="101"/>
      <c r="E26" s="101"/>
      <c r="F26" s="101"/>
      <c r="G26" s="101"/>
      <c r="H26" s="101"/>
      <c r="I26" s="101"/>
      <c r="J26" s="101"/>
      <c r="K26" s="131"/>
      <c r="L26" s="131"/>
    </row>
    <row r="27" spans="1:12" ht="24" x14ac:dyDescent="0.25">
      <c r="A27" s="5"/>
      <c r="B27" s="109" t="s">
        <v>215</v>
      </c>
      <c r="C27" s="236">
        <v>335000</v>
      </c>
      <c r="D27" s="236">
        <v>302000</v>
      </c>
      <c r="E27" s="236">
        <v>272000</v>
      </c>
      <c r="F27" s="236">
        <v>245000</v>
      </c>
      <c r="G27" s="236">
        <v>268000</v>
      </c>
      <c r="H27" s="236">
        <v>318000</v>
      </c>
      <c r="I27" s="236">
        <v>172000</v>
      </c>
      <c r="J27" s="236">
        <v>287000</v>
      </c>
      <c r="K27" s="111" t="s">
        <v>216</v>
      </c>
      <c r="L27" s="133" t="s">
        <v>217</v>
      </c>
    </row>
    <row r="28" spans="1:12" ht="24" x14ac:dyDescent="0.25">
      <c r="A28" s="5"/>
      <c r="B28" s="109" t="s">
        <v>218</v>
      </c>
      <c r="C28" s="236">
        <v>134000</v>
      </c>
      <c r="D28" s="236">
        <v>121000</v>
      </c>
      <c r="E28" s="236">
        <v>109000</v>
      </c>
      <c r="F28" s="236">
        <v>98000</v>
      </c>
      <c r="G28" s="236">
        <v>107000</v>
      </c>
      <c r="H28" s="236">
        <v>127000</v>
      </c>
      <c r="I28" s="237">
        <v>69000</v>
      </c>
      <c r="J28" s="237">
        <v>115000</v>
      </c>
      <c r="K28" s="111" t="s">
        <v>0</v>
      </c>
      <c r="L28" s="111">
        <v>5</v>
      </c>
    </row>
    <row r="29" spans="1:12" x14ac:dyDescent="0.25">
      <c r="A29" s="5"/>
      <c r="B29" s="109"/>
      <c r="C29" s="238"/>
      <c r="D29" s="238"/>
      <c r="E29" s="238"/>
      <c r="F29" s="238"/>
      <c r="G29" s="111"/>
      <c r="H29" s="111"/>
      <c r="I29" s="111"/>
      <c r="J29" s="111"/>
      <c r="K29" s="111"/>
      <c r="L29" s="111"/>
    </row>
    <row r="30" spans="1:12" x14ac:dyDescent="0.25">
      <c r="A30" s="5"/>
      <c r="B30" s="109" t="s">
        <v>219</v>
      </c>
      <c r="C30" s="239">
        <v>11800</v>
      </c>
      <c r="D30" s="239">
        <v>10600</v>
      </c>
      <c r="E30" s="239">
        <v>9500</v>
      </c>
      <c r="F30" s="239">
        <v>8600</v>
      </c>
      <c r="G30" s="239">
        <v>9400</v>
      </c>
      <c r="H30" s="239">
        <v>11200</v>
      </c>
      <c r="I30" s="239">
        <v>6000</v>
      </c>
      <c r="J30" s="239">
        <v>10100</v>
      </c>
      <c r="K30" s="226"/>
      <c r="L30" s="226">
        <v>2</v>
      </c>
    </row>
    <row r="31" spans="1:12" ht="24" x14ac:dyDescent="0.25">
      <c r="A31" s="5"/>
      <c r="B31" s="231" t="s">
        <v>220</v>
      </c>
      <c r="C31" s="239">
        <v>8400</v>
      </c>
      <c r="D31" s="239">
        <v>7600</v>
      </c>
      <c r="E31" s="239">
        <v>6800</v>
      </c>
      <c r="F31" s="239">
        <v>6100</v>
      </c>
      <c r="G31" s="239">
        <v>6700</v>
      </c>
      <c r="H31" s="239">
        <v>8000</v>
      </c>
      <c r="I31" s="239">
        <v>4300</v>
      </c>
      <c r="J31" s="239">
        <v>7200</v>
      </c>
      <c r="K31" s="226"/>
      <c r="L31" s="226">
        <v>2</v>
      </c>
    </row>
    <row r="32" spans="1:12" ht="24" x14ac:dyDescent="0.25">
      <c r="A32" s="5"/>
      <c r="B32" s="231" t="s">
        <v>221</v>
      </c>
      <c r="C32" s="239">
        <v>3400</v>
      </c>
      <c r="D32" s="239">
        <v>3000</v>
      </c>
      <c r="E32" s="239">
        <v>2700</v>
      </c>
      <c r="F32" s="239">
        <v>2500</v>
      </c>
      <c r="G32" s="239">
        <v>2700</v>
      </c>
      <c r="H32" s="239">
        <v>3200</v>
      </c>
      <c r="I32" s="239">
        <v>1700</v>
      </c>
      <c r="J32" s="239">
        <v>2900</v>
      </c>
      <c r="K32" s="226" t="s">
        <v>42</v>
      </c>
      <c r="L32" s="226">
        <v>2</v>
      </c>
    </row>
    <row r="33" spans="1:16" x14ac:dyDescent="0.25">
      <c r="A33" s="5"/>
      <c r="B33" s="109" t="s">
        <v>222</v>
      </c>
      <c r="C33" s="240">
        <v>0.92999554218210201</v>
      </c>
      <c r="D33" s="240">
        <v>1.0252396077120252</v>
      </c>
      <c r="E33" s="240">
        <v>0.88439067201604815</v>
      </c>
      <c r="F33" s="240">
        <v>1.0229689067201606</v>
      </c>
      <c r="G33" s="221"/>
      <c r="H33" s="221"/>
      <c r="I33" s="221"/>
      <c r="J33" s="221"/>
      <c r="K33" s="226" t="s">
        <v>42</v>
      </c>
      <c r="L33" s="226"/>
    </row>
    <row r="34" spans="1:16" x14ac:dyDescent="0.25">
      <c r="A34" s="5"/>
      <c r="B34" s="231" t="s">
        <v>223</v>
      </c>
      <c r="C34" s="240">
        <v>0.92999554218210201</v>
      </c>
      <c r="D34" s="240">
        <v>1.0252396077120252</v>
      </c>
      <c r="E34" s="240">
        <v>0.88439067201604815</v>
      </c>
      <c r="F34" s="240">
        <v>1.0229689067201606</v>
      </c>
      <c r="G34" s="194"/>
      <c r="H34" s="194"/>
      <c r="I34" s="194"/>
      <c r="J34" s="194"/>
      <c r="K34" s="111" t="s">
        <v>1</v>
      </c>
      <c r="L34" s="112" t="s">
        <v>224</v>
      </c>
    </row>
    <row r="35" spans="1:16" x14ac:dyDescent="0.25">
      <c r="A35" s="5"/>
      <c r="B35" s="109"/>
      <c r="C35" s="241"/>
      <c r="D35" s="241"/>
      <c r="E35" s="241"/>
      <c r="F35" s="241"/>
      <c r="G35" s="146"/>
      <c r="H35" s="146"/>
      <c r="I35" s="221"/>
      <c r="J35" s="221"/>
      <c r="K35" s="226"/>
      <c r="L35" s="138"/>
    </row>
    <row r="36" spans="1:16" x14ac:dyDescent="0.25">
      <c r="A36" s="5"/>
      <c r="B36" s="242" t="s">
        <v>27</v>
      </c>
      <c r="C36" s="241"/>
      <c r="D36" s="241"/>
      <c r="E36" s="241"/>
      <c r="F36" s="241"/>
      <c r="G36" s="146"/>
      <c r="H36" s="146"/>
      <c r="I36" s="221"/>
      <c r="J36" s="221"/>
      <c r="K36" s="226"/>
      <c r="L36" s="226"/>
    </row>
    <row r="37" spans="1:16" x14ac:dyDescent="0.25">
      <c r="A37" s="5"/>
      <c r="B37" s="109" t="s">
        <v>225</v>
      </c>
      <c r="C37" s="228">
        <v>0.01</v>
      </c>
      <c r="D37" s="228">
        <v>0.01</v>
      </c>
      <c r="E37" s="225">
        <v>1E-3</v>
      </c>
      <c r="F37" s="225">
        <v>1E-3</v>
      </c>
      <c r="G37" s="101"/>
      <c r="H37" s="101"/>
      <c r="I37" s="101"/>
      <c r="J37" s="101"/>
      <c r="K37" s="131" t="s">
        <v>135</v>
      </c>
      <c r="L37" s="243">
        <v>2</v>
      </c>
    </row>
    <row r="38" spans="1:16" x14ac:dyDescent="0.25">
      <c r="A38" s="5"/>
      <c r="B38" s="109" t="s">
        <v>13</v>
      </c>
      <c r="C38" s="111">
        <v>50</v>
      </c>
      <c r="D38" s="221"/>
      <c r="E38" s="221"/>
      <c r="F38" s="221"/>
      <c r="G38" s="221"/>
      <c r="H38" s="221"/>
      <c r="I38" s="221"/>
      <c r="J38" s="221"/>
      <c r="K38" s="226"/>
      <c r="L38" s="226">
        <v>7</v>
      </c>
    </row>
    <row r="39" spans="1:16" x14ac:dyDescent="0.25">
      <c r="A39" s="5"/>
      <c r="B39" s="109" t="s">
        <v>226</v>
      </c>
      <c r="C39" s="111">
        <v>98.5</v>
      </c>
      <c r="D39" s="111"/>
      <c r="E39" s="111"/>
      <c r="F39" s="111"/>
      <c r="G39" s="111"/>
      <c r="H39" s="111"/>
      <c r="I39" s="111"/>
      <c r="J39" s="111"/>
      <c r="K39" s="111"/>
      <c r="L39" s="111">
        <v>1</v>
      </c>
    </row>
    <row r="40" spans="1:16" hidden="1" x14ac:dyDescent="0.25">
      <c r="A40" s="5"/>
      <c r="B40" s="100"/>
      <c r="C40" s="12"/>
      <c r="D40" s="12"/>
      <c r="E40" s="12"/>
      <c r="F40" s="12"/>
      <c r="G40" s="12"/>
      <c r="H40" s="12"/>
      <c r="I40" s="12"/>
      <c r="J40" s="12"/>
      <c r="K40" s="12"/>
      <c r="L40" s="12"/>
    </row>
    <row r="41" spans="1:16" hidden="1" x14ac:dyDescent="0.25">
      <c r="A41" s="5"/>
      <c r="B41" s="100"/>
      <c r="C41" s="12"/>
      <c r="D41" s="12"/>
      <c r="E41" s="12"/>
      <c r="F41" s="12"/>
      <c r="G41" s="12"/>
      <c r="H41" s="12"/>
      <c r="I41" s="244"/>
      <c r="J41" s="244"/>
      <c r="K41" s="12"/>
      <c r="L41" s="12"/>
    </row>
    <row r="42" spans="1:16" hidden="1" x14ac:dyDescent="0.25">
      <c r="A42" s="5"/>
      <c r="B42" s="100"/>
      <c r="C42" s="12"/>
      <c r="D42" s="12"/>
      <c r="E42" s="12"/>
      <c r="F42" s="12"/>
      <c r="G42" s="12"/>
      <c r="H42" s="12"/>
      <c r="I42" s="245"/>
      <c r="J42" s="245"/>
      <c r="K42" s="12"/>
      <c r="L42" s="12"/>
    </row>
    <row r="43" spans="1:16" hidden="1" x14ac:dyDescent="0.25">
      <c r="A43" s="5"/>
      <c r="B43" s="215"/>
      <c r="C43" s="215"/>
      <c r="D43" s="215"/>
      <c r="E43" s="215"/>
      <c r="F43" s="215"/>
      <c r="G43" s="215"/>
      <c r="H43" s="215"/>
      <c r="I43" s="215"/>
      <c r="J43" s="215"/>
      <c r="K43" s="215"/>
      <c r="L43" s="215"/>
    </row>
    <row r="44" spans="1:16" x14ac:dyDescent="0.25">
      <c r="A44" s="5"/>
      <c r="B44" s="215"/>
      <c r="C44" s="215"/>
      <c r="D44" s="215"/>
      <c r="E44" s="215"/>
      <c r="F44" s="215"/>
      <c r="G44" s="215"/>
      <c r="H44" s="215"/>
      <c r="I44" s="215"/>
      <c r="J44" s="215"/>
      <c r="K44" s="215"/>
      <c r="L44" s="215"/>
    </row>
    <row r="45" spans="1:16" hidden="1" x14ac:dyDescent="0.25">
      <c r="A45" s="6" t="s">
        <v>28</v>
      </c>
      <c r="B45" s="246"/>
      <c r="C45" s="99"/>
      <c r="D45" s="99"/>
      <c r="E45" s="99"/>
      <c r="F45" s="99"/>
      <c r="G45" s="99"/>
      <c r="H45" s="99"/>
      <c r="I45" s="99"/>
      <c r="J45" s="99"/>
      <c r="K45" s="99"/>
      <c r="L45" s="99"/>
      <c r="M45" s="215"/>
      <c r="N45" s="215"/>
      <c r="O45" s="215"/>
      <c r="P45" s="215"/>
    </row>
    <row r="46" spans="1:16" ht="15" hidden="1" customHeight="1" x14ac:dyDescent="0.25">
      <c r="A46" s="17">
        <v>1</v>
      </c>
      <c r="B46" s="590" t="s">
        <v>227</v>
      </c>
      <c r="C46" s="591"/>
      <c r="D46" s="591"/>
      <c r="E46" s="591"/>
      <c r="F46" s="591"/>
      <c r="G46" s="591"/>
      <c r="H46" s="591"/>
      <c r="I46" s="591"/>
      <c r="J46" s="591"/>
      <c r="K46" s="591"/>
      <c r="L46" s="591"/>
      <c r="M46" s="215"/>
      <c r="N46" s="215"/>
      <c r="O46" s="215"/>
      <c r="P46" s="215"/>
    </row>
    <row r="47" spans="1:16" hidden="1" x14ac:dyDescent="0.25">
      <c r="A47" s="17">
        <v>2</v>
      </c>
      <c r="B47" s="247" t="s">
        <v>228</v>
      </c>
      <c r="C47" s="5"/>
      <c r="D47" s="5"/>
      <c r="E47" s="5"/>
      <c r="F47" s="247" t="s">
        <v>229</v>
      </c>
      <c r="G47" s="5"/>
      <c r="H47" s="5"/>
      <c r="I47" s="5"/>
      <c r="J47" s="5"/>
      <c r="K47" s="5"/>
      <c r="L47" s="5"/>
      <c r="M47" s="215"/>
      <c r="N47" s="215"/>
      <c r="O47" s="215"/>
      <c r="P47" s="215"/>
    </row>
    <row r="48" spans="1:16" ht="15" hidden="1" customHeight="1" x14ac:dyDescent="0.25">
      <c r="A48" s="18">
        <v>4</v>
      </c>
      <c r="B48" s="590" t="s">
        <v>230</v>
      </c>
      <c r="C48" s="591"/>
      <c r="D48" s="591"/>
      <c r="E48" s="591"/>
      <c r="F48" s="591"/>
      <c r="G48" s="591"/>
      <c r="H48" s="591"/>
      <c r="I48" s="591"/>
      <c r="J48" s="591"/>
      <c r="K48" s="591"/>
      <c r="L48" s="591"/>
      <c r="M48" s="215"/>
      <c r="N48" s="215"/>
      <c r="O48" s="215"/>
      <c r="P48" s="215"/>
    </row>
    <row r="49" spans="1:16" ht="15" hidden="1" customHeight="1" x14ac:dyDescent="0.25">
      <c r="A49" s="17">
        <v>5</v>
      </c>
      <c r="B49" s="590" t="s">
        <v>231</v>
      </c>
      <c r="C49" s="591"/>
      <c r="D49" s="591"/>
      <c r="E49" s="591"/>
      <c r="F49" s="591"/>
      <c r="G49" s="591"/>
      <c r="H49" s="591"/>
      <c r="I49" s="591"/>
      <c r="J49" s="591"/>
      <c r="K49" s="591"/>
      <c r="L49" s="591"/>
      <c r="M49" s="215"/>
      <c r="N49" s="215"/>
      <c r="O49" s="215"/>
      <c r="P49" s="215"/>
    </row>
    <row r="50" spans="1:16" ht="15" hidden="1" customHeight="1" x14ac:dyDescent="0.25">
      <c r="A50" s="17">
        <v>7</v>
      </c>
      <c r="B50" s="590" t="s">
        <v>232</v>
      </c>
      <c r="C50" s="591"/>
      <c r="D50" s="591"/>
      <c r="E50" s="591"/>
      <c r="F50" s="591"/>
      <c r="G50" s="591"/>
      <c r="H50" s="591"/>
      <c r="I50" s="591"/>
      <c r="J50" s="591"/>
      <c r="K50" s="591"/>
      <c r="L50" s="591"/>
      <c r="M50" s="215"/>
      <c r="N50" s="215"/>
      <c r="O50" s="215"/>
      <c r="P50" s="215"/>
    </row>
    <row r="51" spans="1:16" x14ac:dyDescent="0.25">
      <c r="A51" s="17"/>
      <c r="B51" s="100"/>
      <c r="C51" s="100"/>
      <c r="D51" s="100"/>
      <c r="E51" s="100"/>
      <c r="F51" s="100"/>
      <c r="G51" s="100"/>
      <c r="H51" s="100"/>
      <c r="I51" s="100"/>
      <c r="J51" s="100"/>
      <c r="K51" s="100"/>
      <c r="L51" s="100"/>
      <c r="M51" s="215"/>
      <c r="N51" s="215"/>
      <c r="O51" s="215"/>
      <c r="P51" s="215"/>
    </row>
    <row r="52" spans="1:16" x14ac:dyDescent="0.25">
      <c r="A52" s="19" t="s">
        <v>6</v>
      </c>
      <c r="B52" s="100"/>
      <c r="C52" s="15"/>
      <c r="D52" s="15"/>
      <c r="E52" s="15"/>
      <c r="F52" s="15"/>
      <c r="G52" s="15"/>
      <c r="H52" s="15"/>
      <c r="I52" s="15"/>
      <c r="J52" s="15"/>
      <c r="K52" s="15"/>
      <c r="L52" s="15"/>
      <c r="M52" s="215"/>
      <c r="N52" s="215"/>
      <c r="O52" s="215"/>
      <c r="P52" s="215"/>
    </row>
    <row r="53" spans="1:16" ht="15" customHeight="1" x14ac:dyDescent="0.25">
      <c r="A53" s="4" t="s">
        <v>5</v>
      </c>
      <c r="B53" s="593" t="s">
        <v>233</v>
      </c>
      <c r="C53" s="594"/>
      <c r="D53" s="594"/>
      <c r="E53" s="594"/>
      <c r="F53" s="594"/>
      <c r="G53" s="594"/>
      <c r="H53" s="594"/>
      <c r="I53" s="594"/>
      <c r="J53" s="594"/>
      <c r="K53" s="594"/>
      <c r="L53" s="594"/>
      <c r="M53" s="595"/>
      <c r="N53" s="595"/>
      <c r="O53" s="595"/>
      <c r="P53" s="595"/>
    </row>
    <row r="54" spans="1:16" ht="15" customHeight="1" x14ac:dyDescent="0.25">
      <c r="A54" s="4" t="s">
        <v>4</v>
      </c>
      <c r="B54" s="593" t="s">
        <v>234</v>
      </c>
      <c r="C54" s="594"/>
      <c r="D54" s="594"/>
      <c r="E54" s="594"/>
      <c r="F54" s="594"/>
      <c r="G54" s="594"/>
      <c r="H54" s="594"/>
      <c r="I54" s="594"/>
      <c r="J54" s="594"/>
      <c r="K54" s="594"/>
      <c r="L54" s="594"/>
      <c r="M54" s="215"/>
      <c r="N54" s="215"/>
      <c r="O54" s="215"/>
      <c r="P54" s="215"/>
    </row>
    <row r="55" spans="1:16" ht="15" customHeight="1" x14ac:dyDescent="0.25">
      <c r="A55" s="4" t="s">
        <v>3</v>
      </c>
      <c r="B55" s="593" t="s">
        <v>235</v>
      </c>
      <c r="C55" s="594"/>
      <c r="D55" s="594"/>
      <c r="E55" s="594"/>
      <c r="F55" s="594"/>
      <c r="G55" s="594"/>
      <c r="H55" s="594"/>
      <c r="I55" s="594"/>
      <c r="J55" s="594"/>
      <c r="K55" s="594"/>
      <c r="L55" s="594"/>
      <c r="M55" s="215"/>
      <c r="N55" s="215"/>
      <c r="O55" s="215"/>
      <c r="P55" s="215"/>
    </row>
    <row r="56" spans="1:16" ht="15" customHeight="1" x14ac:dyDescent="0.25">
      <c r="A56" s="4" t="s">
        <v>2</v>
      </c>
      <c r="B56" s="593" t="s">
        <v>236</v>
      </c>
      <c r="C56" s="594"/>
      <c r="D56" s="594"/>
      <c r="E56" s="594"/>
      <c r="F56" s="594"/>
      <c r="G56" s="594"/>
      <c r="H56" s="594"/>
      <c r="I56" s="594"/>
      <c r="J56" s="594"/>
      <c r="K56" s="594"/>
      <c r="L56" s="594"/>
      <c r="M56" s="595"/>
      <c r="N56" s="595"/>
      <c r="O56" s="595"/>
      <c r="P56" s="595"/>
    </row>
    <row r="57" spans="1:16" ht="15" customHeight="1" x14ac:dyDescent="0.25">
      <c r="A57" s="4" t="s">
        <v>1</v>
      </c>
      <c r="B57" s="593" t="s">
        <v>237</v>
      </c>
      <c r="C57" s="594"/>
      <c r="D57" s="594"/>
      <c r="E57" s="594"/>
      <c r="F57" s="594"/>
      <c r="G57" s="594"/>
      <c r="H57" s="594"/>
      <c r="I57" s="594"/>
      <c r="J57" s="594"/>
      <c r="K57" s="594"/>
      <c r="L57" s="594"/>
      <c r="M57" s="595"/>
      <c r="N57" s="595"/>
      <c r="O57" s="595"/>
      <c r="P57" s="595"/>
    </row>
    <row r="58" spans="1:16" ht="15" customHeight="1" x14ac:dyDescent="0.25">
      <c r="A58" s="4" t="s">
        <v>0</v>
      </c>
      <c r="B58" s="593" t="s">
        <v>238</v>
      </c>
      <c r="C58" s="593"/>
      <c r="D58" s="593"/>
      <c r="E58" s="593"/>
      <c r="F58" s="593"/>
      <c r="G58" s="593"/>
      <c r="H58" s="593"/>
      <c r="I58" s="593"/>
      <c r="J58" s="593"/>
      <c r="K58" s="593"/>
      <c r="L58" s="593"/>
      <c r="M58" s="593"/>
      <c r="N58" s="593"/>
      <c r="O58" s="593"/>
      <c r="P58" s="593"/>
    </row>
    <row r="59" spans="1:16" ht="15" customHeight="1" x14ac:dyDescent="0.25">
      <c r="A59" s="4" t="s">
        <v>41</v>
      </c>
      <c r="B59" s="593" t="s">
        <v>239</v>
      </c>
      <c r="C59" s="593"/>
      <c r="D59" s="593"/>
      <c r="E59" s="593"/>
      <c r="F59" s="593"/>
      <c r="G59" s="593"/>
      <c r="H59" s="593"/>
      <c r="I59" s="593"/>
      <c r="J59" s="593"/>
      <c r="K59" s="593"/>
      <c r="L59" s="593"/>
      <c r="M59" s="593"/>
      <c r="N59" s="593"/>
      <c r="O59" s="593"/>
      <c r="P59" s="593"/>
    </row>
    <row r="60" spans="1:16" ht="15" customHeight="1" x14ac:dyDescent="0.25">
      <c r="A60" s="4" t="s">
        <v>42</v>
      </c>
      <c r="B60" s="593" t="s">
        <v>240</v>
      </c>
      <c r="C60" s="593"/>
      <c r="D60" s="593"/>
      <c r="E60" s="593"/>
      <c r="F60" s="593"/>
      <c r="G60" s="593"/>
      <c r="H60" s="593"/>
      <c r="I60" s="593"/>
      <c r="J60" s="593"/>
      <c r="K60" s="593"/>
      <c r="L60" s="593"/>
    </row>
    <row r="61" spans="1:16" ht="15" customHeight="1" x14ac:dyDescent="0.25">
      <c r="A61" s="4" t="s">
        <v>241</v>
      </c>
      <c r="B61" s="593" t="s">
        <v>242</v>
      </c>
      <c r="C61" s="593"/>
      <c r="D61" s="593"/>
      <c r="E61" s="593"/>
      <c r="F61" s="593"/>
      <c r="G61" s="593"/>
      <c r="H61" s="593"/>
      <c r="I61" s="593"/>
      <c r="J61" s="593"/>
      <c r="K61" s="593"/>
      <c r="L61" s="593"/>
    </row>
    <row r="62" spans="1:16" ht="15" customHeight="1" x14ac:dyDescent="0.25">
      <c r="A62" s="4" t="s">
        <v>99</v>
      </c>
      <c r="B62" s="592" t="s">
        <v>243</v>
      </c>
      <c r="C62" s="592"/>
      <c r="D62" s="592"/>
      <c r="E62" s="592"/>
      <c r="F62" s="592"/>
      <c r="G62" s="592"/>
      <c r="H62" s="592"/>
      <c r="I62" s="592"/>
      <c r="J62" s="592"/>
      <c r="K62" s="592"/>
      <c r="L62" s="592"/>
    </row>
    <row r="63" spans="1:16" x14ac:dyDescent="0.25">
      <c r="A63" s="215"/>
      <c r="B63" s="248" t="s">
        <v>244</v>
      </c>
      <c r="C63" s="215"/>
      <c r="D63" s="215"/>
      <c r="E63" s="215"/>
      <c r="F63" s="215"/>
      <c r="G63" s="215"/>
      <c r="H63" s="215"/>
      <c r="I63" s="215"/>
      <c r="J63" s="215"/>
      <c r="K63" s="215"/>
      <c r="L63" s="215"/>
    </row>
    <row r="64" spans="1:16" ht="15.75" x14ac:dyDescent="0.25">
      <c r="A64" s="215"/>
      <c r="B64" s="249"/>
      <c r="C64" s="215"/>
      <c r="D64" s="215"/>
      <c r="E64" s="215"/>
      <c r="F64" s="215"/>
      <c r="G64" s="215"/>
      <c r="H64" s="215"/>
      <c r="I64" s="215"/>
      <c r="J64" s="215"/>
      <c r="K64" s="215"/>
      <c r="L64" s="215"/>
    </row>
    <row r="65" spans="1:12" x14ac:dyDescent="0.25">
      <c r="A65" s="148" t="s">
        <v>28</v>
      </c>
      <c r="B65" s="215"/>
      <c r="C65" s="215"/>
      <c r="D65" s="215"/>
      <c r="E65" s="215"/>
      <c r="F65" s="215"/>
      <c r="G65" s="215"/>
      <c r="H65" s="215"/>
      <c r="I65" s="215"/>
      <c r="J65" s="215"/>
      <c r="K65" s="215"/>
      <c r="L65" s="215"/>
    </row>
    <row r="66" spans="1:12" x14ac:dyDescent="0.25">
      <c r="A66" s="215">
        <v>1</v>
      </c>
      <c r="B66" s="596" t="s">
        <v>245</v>
      </c>
      <c r="C66" s="596"/>
      <c r="D66" s="596"/>
      <c r="E66" s="596"/>
      <c r="F66" s="596"/>
      <c r="G66" s="596"/>
      <c r="H66" s="596"/>
      <c r="I66" s="596"/>
      <c r="J66" s="596"/>
      <c r="K66" s="596"/>
      <c r="L66" s="596"/>
    </row>
    <row r="67" spans="1:12" x14ac:dyDescent="0.25">
      <c r="A67" s="215">
        <v>2</v>
      </c>
      <c r="B67" s="596" t="s">
        <v>246</v>
      </c>
      <c r="C67" s="596"/>
      <c r="D67" s="596"/>
      <c r="E67" s="596"/>
      <c r="F67" s="596"/>
      <c r="G67" s="596"/>
      <c r="H67" s="596"/>
      <c r="I67" s="596"/>
      <c r="J67" s="596"/>
      <c r="K67" s="596"/>
      <c r="L67" s="596"/>
    </row>
    <row r="68" spans="1:12" x14ac:dyDescent="0.25">
      <c r="A68" s="215">
        <v>4</v>
      </c>
      <c r="B68" s="596" t="s">
        <v>247</v>
      </c>
      <c r="C68" s="596"/>
      <c r="D68" s="596"/>
      <c r="E68" s="596"/>
      <c r="F68" s="596"/>
      <c r="G68" s="596"/>
      <c r="H68" s="596"/>
      <c r="I68" s="596"/>
      <c r="J68" s="596"/>
      <c r="K68" s="596"/>
      <c r="L68" s="596"/>
    </row>
    <row r="69" spans="1:12" x14ac:dyDescent="0.25">
      <c r="A69" s="215">
        <v>5</v>
      </c>
      <c r="B69" s="596" t="s">
        <v>231</v>
      </c>
      <c r="C69" s="596"/>
      <c r="D69" s="596"/>
      <c r="E69" s="596"/>
      <c r="F69" s="596"/>
      <c r="G69" s="596"/>
      <c r="H69" s="596"/>
      <c r="I69" s="596"/>
      <c r="J69" s="596"/>
      <c r="K69" s="596"/>
      <c r="L69" s="596"/>
    </row>
    <row r="70" spans="1:12" x14ac:dyDescent="0.25">
      <c r="A70" s="215">
        <v>7</v>
      </c>
      <c r="B70" s="596" t="s">
        <v>232</v>
      </c>
      <c r="C70" s="596"/>
      <c r="D70" s="596"/>
      <c r="E70" s="596"/>
      <c r="F70" s="596"/>
      <c r="G70" s="596"/>
      <c r="H70" s="596"/>
      <c r="I70" s="596"/>
      <c r="J70" s="596"/>
      <c r="K70" s="596"/>
      <c r="L70" s="596"/>
    </row>
  </sheetData>
  <mergeCells count="23">
    <mergeCell ref="B66:L66"/>
    <mergeCell ref="B67:L67"/>
    <mergeCell ref="B68:L68"/>
    <mergeCell ref="B69:L69"/>
    <mergeCell ref="B70:L70"/>
    <mergeCell ref="B62:L62"/>
    <mergeCell ref="B49:L49"/>
    <mergeCell ref="B50:L50"/>
    <mergeCell ref="B53:P53"/>
    <mergeCell ref="B54:L54"/>
    <mergeCell ref="B55:L55"/>
    <mergeCell ref="B56:P56"/>
    <mergeCell ref="B57:P57"/>
    <mergeCell ref="B58:P58"/>
    <mergeCell ref="B59:P59"/>
    <mergeCell ref="B60:L60"/>
    <mergeCell ref="B61:L61"/>
    <mergeCell ref="B48:L48"/>
    <mergeCell ref="C1:K1"/>
    <mergeCell ref="C3:L3"/>
    <mergeCell ref="G4:H4"/>
    <mergeCell ref="I4:J4"/>
    <mergeCell ref="B46:L46"/>
  </mergeCells>
  <hyperlinks>
    <hyperlink ref="H1" location="Index" display="Back to Index"/>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Z46"/>
  <sheetViews>
    <sheetView showGridLines="0" workbookViewId="0">
      <selection activeCell="W17" sqref="W17"/>
    </sheetView>
  </sheetViews>
  <sheetFormatPr defaultColWidth="9.140625" defaultRowHeight="15" x14ac:dyDescent="0.25"/>
  <cols>
    <col min="1" max="1" width="2" style="40" customWidth="1"/>
    <col min="2" max="2" width="34.42578125" style="40" customWidth="1"/>
    <col min="3" max="10" width="7.28515625" style="40" bestFit="1" customWidth="1"/>
    <col min="11" max="11" width="4.5703125" style="40" bestFit="1" customWidth="1"/>
    <col min="12" max="12" width="9.7109375" style="40" customWidth="1"/>
    <col min="13" max="13" width="4.42578125" style="40" customWidth="1"/>
    <col min="14" max="17" width="0" style="83" hidden="1" customWidth="1"/>
    <col min="18" max="16384" width="9.140625" style="83"/>
  </cols>
  <sheetData>
    <row r="1" spans="2:12" ht="20.25" customHeight="1" x14ac:dyDescent="0.3">
      <c r="B1" s="16" t="s">
        <v>21</v>
      </c>
      <c r="C1" s="550" t="s">
        <v>62</v>
      </c>
      <c r="D1" s="550"/>
      <c r="E1" s="550"/>
      <c r="F1" s="550"/>
      <c r="G1" s="550"/>
      <c r="H1" s="551" t="s">
        <v>709</v>
      </c>
      <c r="I1" s="550"/>
      <c r="J1" s="550"/>
      <c r="K1" s="550"/>
      <c r="L1" s="550"/>
    </row>
    <row r="2" spans="2:12" x14ac:dyDescent="0.25">
      <c r="B2" s="5"/>
      <c r="C2" s="5"/>
      <c r="D2" s="5"/>
      <c r="E2" s="5"/>
      <c r="F2" s="5"/>
      <c r="G2" s="5"/>
      <c r="H2" s="5"/>
      <c r="I2" s="5"/>
      <c r="J2" s="5"/>
      <c r="K2" s="5"/>
      <c r="L2" s="39"/>
    </row>
    <row r="3" spans="2:12" ht="14.45" x14ac:dyDescent="0.35">
      <c r="B3" s="9" t="s">
        <v>20</v>
      </c>
      <c r="C3" s="600" t="str">
        <f>C1</f>
        <v>Gasifier, biomass, producer gas, small - medium scale</v>
      </c>
      <c r="D3" s="601"/>
      <c r="E3" s="601"/>
      <c r="F3" s="601"/>
      <c r="G3" s="601"/>
      <c r="H3" s="601"/>
      <c r="I3" s="601"/>
      <c r="J3" s="601"/>
      <c r="K3" s="601"/>
      <c r="L3" s="602"/>
    </row>
    <row r="4" spans="2:12" ht="27.75" customHeight="1" x14ac:dyDescent="0.35">
      <c r="B4" s="8"/>
      <c r="C4" s="70">
        <v>2015</v>
      </c>
      <c r="D4" s="70">
        <v>2020</v>
      </c>
      <c r="E4" s="70">
        <v>2030</v>
      </c>
      <c r="F4" s="70">
        <v>2050</v>
      </c>
      <c r="G4" s="603" t="s">
        <v>26</v>
      </c>
      <c r="H4" s="604"/>
      <c r="I4" s="603" t="s">
        <v>25</v>
      </c>
      <c r="J4" s="604"/>
      <c r="K4" s="70" t="s">
        <v>19</v>
      </c>
      <c r="L4" s="70" t="s">
        <v>63</v>
      </c>
    </row>
    <row r="5" spans="2:12" ht="14.45" x14ac:dyDescent="0.35">
      <c r="B5" s="36" t="s">
        <v>15</v>
      </c>
      <c r="C5" s="71"/>
      <c r="D5" s="71"/>
      <c r="E5" s="71"/>
      <c r="F5" s="71"/>
      <c r="G5" s="69" t="s">
        <v>17</v>
      </c>
      <c r="H5" s="69" t="s">
        <v>16</v>
      </c>
      <c r="I5" s="69" t="s">
        <v>17</v>
      </c>
      <c r="J5" s="69" t="s">
        <v>16</v>
      </c>
      <c r="K5" s="71"/>
      <c r="L5" s="71"/>
    </row>
    <row r="6" spans="2:12" ht="14.45" x14ac:dyDescent="0.35">
      <c r="B6" s="32" t="s">
        <v>73</v>
      </c>
      <c r="C6" s="21">
        <v>20</v>
      </c>
      <c r="D6" s="21">
        <v>20</v>
      </c>
      <c r="E6" s="21">
        <v>20</v>
      </c>
      <c r="F6" s="21">
        <v>20</v>
      </c>
      <c r="G6" s="21"/>
      <c r="H6" s="21"/>
      <c r="I6" s="21"/>
      <c r="J6" s="21"/>
      <c r="K6" s="21" t="s">
        <v>5</v>
      </c>
      <c r="L6" s="21" t="s">
        <v>64</v>
      </c>
    </row>
    <row r="7" spans="2:12" ht="14.45" x14ac:dyDescent="0.35">
      <c r="B7" s="34"/>
      <c r="C7" s="31"/>
      <c r="D7" s="21"/>
      <c r="E7" s="21"/>
      <c r="F7" s="21"/>
      <c r="G7" s="21"/>
      <c r="H7" s="21"/>
      <c r="I7" s="21"/>
      <c r="J7" s="21"/>
      <c r="K7" s="21"/>
      <c r="L7" s="21"/>
    </row>
    <row r="8" spans="2:12" ht="14.45" x14ac:dyDescent="0.35">
      <c r="B8" s="33" t="s">
        <v>35</v>
      </c>
      <c r="C8" s="21"/>
      <c r="D8" s="21"/>
      <c r="E8" s="21"/>
      <c r="F8" s="21"/>
      <c r="G8" s="21"/>
      <c r="H8" s="21"/>
      <c r="I8" s="21"/>
      <c r="J8" s="21"/>
      <c r="K8" s="21"/>
      <c r="L8" s="21"/>
    </row>
    <row r="9" spans="2:12" ht="14.45" x14ac:dyDescent="0.35">
      <c r="B9" s="72" t="s">
        <v>78</v>
      </c>
      <c r="C9" s="21">
        <v>98</v>
      </c>
      <c r="D9" s="21">
        <v>98</v>
      </c>
      <c r="E9" s="21">
        <v>98</v>
      </c>
      <c r="F9" s="21">
        <v>98</v>
      </c>
      <c r="G9" s="21"/>
      <c r="H9" s="21"/>
      <c r="I9" s="21"/>
      <c r="J9" s="21"/>
      <c r="K9" s="21"/>
      <c r="L9" s="21"/>
    </row>
    <row r="10" spans="2:12" ht="14.45" x14ac:dyDescent="0.35">
      <c r="B10" s="29" t="s">
        <v>79</v>
      </c>
      <c r="C10" s="21">
        <v>2</v>
      </c>
      <c r="D10" s="21">
        <v>2</v>
      </c>
      <c r="E10" s="21">
        <v>2</v>
      </c>
      <c r="F10" s="21">
        <v>2</v>
      </c>
      <c r="G10" s="21"/>
      <c r="H10" s="21"/>
      <c r="I10" s="21"/>
      <c r="J10" s="21"/>
      <c r="K10" s="21"/>
      <c r="L10" s="21"/>
    </row>
    <row r="11" spans="2:12" ht="14.45" x14ac:dyDescent="0.35">
      <c r="B11" s="29"/>
      <c r="C11" s="21"/>
      <c r="D11" s="21"/>
      <c r="E11" s="21"/>
      <c r="F11" s="21"/>
      <c r="G11" s="21"/>
      <c r="H11" s="21"/>
      <c r="I11" s="21"/>
      <c r="J11" s="21"/>
      <c r="K11" s="21"/>
      <c r="L11" s="21"/>
    </row>
    <row r="12" spans="2:12" ht="14.45" x14ac:dyDescent="0.35">
      <c r="B12" s="28" t="s">
        <v>36</v>
      </c>
      <c r="C12" s="21"/>
      <c r="D12" s="21"/>
      <c r="E12" s="21"/>
      <c r="F12" s="21"/>
      <c r="G12" s="21"/>
      <c r="H12" s="21"/>
      <c r="I12" s="21"/>
      <c r="J12" s="21"/>
      <c r="K12" s="21"/>
      <c r="L12" s="21"/>
    </row>
    <row r="13" spans="2:12" ht="14.45" x14ac:dyDescent="0.35">
      <c r="B13" s="26" t="s">
        <v>80</v>
      </c>
      <c r="C13" s="21">
        <v>74</v>
      </c>
      <c r="D13" s="21">
        <v>75</v>
      </c>
      <c r="E13" s="21">
        <v>77</v>
      </c>
      <c r="F13" s="21">
        <v>83</v>
      </c>
      <c r="G13" s="21">
        <v>60</v>
      </c>
      <c r="H13" s="21">
        <v>80</v>
      </c>
      <c r="I13" s="21">
        <v>80</v>
      </c>
      <c r="J13" s="21">
        <v>90</v>
      </c>
      <c r="K13" s="21" t="s">
        <v>3</v>
      </c>
      <c r="L13" s="21" t="s">
        <v>65</v>
      </c>
    </row>
    <row r="14" spans="2:12" ht="14.45" x14ac:dyDescent="0.35">
      <c r="B14" s="26" t="s">
        <v>81</v>
      </c>
      <c r="C14" s="21">
        <v>10</v>
      </c>
      <c r="D14" s="21">
        <v>10</v>
      </c>
      <c r="E14" s="21">
        <v>9</v>
      </c>
      <c r="F14" s="21">
        <v>5</v>
      </c>
      <c r="G14" s="21"/>
      <c r="H14" s="21"/>
      <c r="I14" s="21"/>
      <c r="J14" s="21"/>
      <c r="K14" s="21" t="s">
        <v>4</v>
      </c>
      <c r="L14" s="21" t="s">
        <v>65</v>
      </c>
    </row>
    <row r="15" spans="2:12" ht="14.45" x14ac:dyDescent="0.35">
      <c r="B15" s="26"/>
      <c r="C15" s="21"/>
      <c r="D15" s="31"/>
      <c r="E15" s="21"/>
      <c r="F15" s="21"/>
      <c r="G15" s="21"/>
      <c r="H15" s="21"/>
      <c r="I15" s="21"/>
      <c r="J15" s="21"/>
      <c r="K15" s="21"/>
      <c r="L15" s="21"/>
    </row>
    <row r="16" spans="2:12" ht="14.45" x14ac:dyDescent="0.35">
      <c r="B16" s="73" t="s">
        <v>77</v>
      </c>
      <c r="C16" s="21">
        <v>5</v>
      </c>
      <c r="D16" s="31">
        <v>5</v>
      </c>
      <c r="E16" s="21">
        <v>5</v>
      </c>
      <c r="F16" s="21">
        <v>5</v>
      </c>
      <c r="G16" s="21"/>
      <c r="H16" s="21"/>
      <c r="I16" s="21"/>
      <c r="J16" s="21"/>
      <c r="K16" s="21"/>
      <c r="L16" s="21" t="s">
        <v>64</v>
      </c>
    </row>
    <row r="17" spans="1:26" ht="14.45" x14ac:dyDescent="0.35">
      <c r="B17" s="73" t="s">
        <v>24</v>
      </c>
      <c r="C17" s="21">
        <v>3</v>
      </c>
      <c r="D17" s="31">
        <v>3</v>
      </c>
      <c r="E17" s="21">
        <v>3</v>
      </c>
      <c r="F17" s="21">
        <v>3</v>
      </c>
      <c r="G17" s="21"/>
      <c r="H17" s="21"/>
      <c r="I17" s="21"/>
      <c r="J17" s="21"/>
      <c r="K17" s="21"/>
      <c r="L17" s="21" t="s">
        <v>64</v>
      </c>
    </row>
    <row r="18" spans="1:26" x14ac:dyDescent="0.25">
      <c r="B18" s="73" t="s">
        <v>14</v>
      </c>
      <c r="C18" s="21">
        <v>20</v>
      </c>
      <c r="D18" s="31">
        <v>20</v>
      </c>
      <c r="E18" s="21">
        <v>20</v>
      </c>
      <c r="F18" s="21">
        <v>20</v>
      </c>
      <c r="G18" s="21"/>
      <c r="H18" s="21"/>
      <c r="I18" s="21"/>
      <c r="J18" s="21"/>
      <c r="K18" s="21"/>
      <c r="L18" s="21" t="s">
        <v>64</v>
      </c>
    </row>
    <row r="19" spans="1:26" x14ac:dyDescent="0.25">
      <c r="B19" s="73" t="s">
        <v>12</v>
      </c>
      <c r="C19" s="21" t="s">
        <v>66</v>
      </c>
      <c r="D19" s="31" t="s">
        <v>66</v>
      </c>
      <c r="E19" s="31" t="s">
        <v>66</v>
      </c>
      <c r="F19" s="31" t="s">
        <v>66</v>
      </c>
      <c r="G19" s="21"/>
      <c r="H19" s="21"/>
      <c r="I19" s="21"/>
      <c r="J19" s="21"/>
      <c r="K19" s="21"/>
      <c r="L19" s="21" t="s">
        <v>64</v>
      </c>
    </row>
    <row r="20" spans="1:26" x14ac:dyDescent="0.25">
      <c r="B20" s="26"/>
      <c r="C20" s="21"/>
      <c r="D20" s="31"/>
      <c r="E20" s="21"/>
      <c r="F20" s="21"/>
      <c r="G20" s="21"/>
      <c r="H20" s="21"/>
      <c r="I20" s="21"/>
      <c r="J20" s="21"/>
      <c r="K20" s="21"/>
      <c r="L20" s="21"/>
    </row>
    <row r="21" spans="1:26" x14ac:dyDescent="0.25">
      <c r="B21" s="86" t="s">
        <v>9</v>
      </c>
      <c r="C21" s="87"/>
      <c r="D21" s="88"/>
      <c r="E21" s="88"/>
      <c r="F21" s="88"/>
      <c r="G21" s="88"/>
      <c r="H21" s="88"/>
      <c r="I21" s="88"/>
      <c r="J21" s="88"/>
      <c r="K21" s="44"/>
      <c r="L21" s="37"/>
    </row>
    <row r="22" spans="1:26" x14ac:dyDescent="0.25">
      <c r="B22" s="30" t="s">
        <v>54</v>
      </c>
      <c r="C22" s="90">
        <v>1.4</v>
      </c>
      <c r="D22" s="90">
        <v>1.3</v>
      </c>
      <c r="E22" s="90">
        <v>1.2</v>
      </c>
      <c r="F22" s="90">
        <v>1.1000000000000001</v>
      </c>
      <c r="G22" s="90">
        <v>0.9</v>
      </c>
      <c r="H22" s="90">
        <v>1.8</v>
      </c>
      <c r="I22" s="90">
        <v>0.7</v>
      </c>
      <c r="J22" s="90">
        <v>1.4</v>
      </c>
      <c r="K22" s="31" t="s">
        <v>2</v>
      </c>
      <c r="L22" s="21" t="s">
        <v>51</v>
      </c>
      <c r="R22" s="93"/>
      <c r="S22" s="93"/>
      <c r="T22" s="93"/>
      <c r="U22" s="93"/>
      <c r="V22" s="93"/>
      <c r="W22" s="93"/>
      <c r="X22" s="93"/>
      <c r="Y22" s="93"/>
      <c r="Z22" s="93"/>
    </row>
    <row r="23" spans="1:26" ht="14.45" customHeight="1" x14ac:dyDescent="0.25">
      <c r="B23" s="30" t="s">
        <v>8</v>
      </c>
      <c r="C23" s="89" t="s">
        <v>29</v>
      </c>
      <c r="D23" s="89"/>
      <c r="E23" s="89"/>
      <c r="F23" s="89"/>
      <c r="G23" s="89"/>
      <c r="H23" s="89"/>
      <c r="I23" s="89"/>
      <c r="J23" s="89"/>
      <c r="K23" s="31"/>
      <c r="L23" s="21"/>
      <c r="R23" s="93"/>
      <c r="S23" s="93"/>
      <c r="T23" s="93"/>
      <c r="U23" s="93"/>
      <c r="V23" s="93"/>
      <c r="W23" s="93"/>
      <c r="X23" s="92"/>
      <c r="Y23" s="92"/>
      <c r="Z23" s="12"/>
    </row>
    <row r="24" spans="1:26" ht="14.45" customHeight="1" x14ac:dyDescent="0.25">
      <c r="B24" s="30" t="s">
        <v>7</v>
      </c>
      <c r="C24" s="95" t="s">
        <v>29</v>
      </c>
      <c r="D24" s="95"/>
      <c r="E24" s="95"/>
      <c r="F24" s="95"/>
      <c r="G24" s="95"/>
      <c r="H24" s="95"/>
      <c r="I24" s="95"/>
      <c r="J24" s="95"/>
      <c r="K24" s="31"/>
      <c r="L24" s="21"/>
      <c r="R24" s="93"/>
      <c r="S24" s="93"/>
      <c r="T24" s="93"/>
      <c r="U24" s="93"/>
      <c r="V24" s="93"/>
      <c r="W24" s="93"/>
      <c r="X24" s="92"/>
      <c r="Y24" s="92"/>
      <c r="Z24" s="12"/>
    </row>
    <row r="25" spans="1:26" x14ac:dyDescent="0.25">
      <c r="B25" s="30" t="s">
        <v>67</v>
      </c>
      <c r="C25" s="96">
        <v>21000</v>
      </c>
      <c r="D25" s="96">
        <v>20000</v>
      </c>
      <c r="E25" s="96">
        <v>18000</v>
      </c>
      <c r="F25" s="96">
        <v>16200</v>
      </c>
      <c r="G25" s="96">
        <v>15000</v>
      </c>
      <c r="H25" s="96">
        <v>24900</v>
      </c>
      <c r="I25" s="96">
        <v>12100</v>
      </c>
      <c r="J25" s="96">
        <v>20200</v>
      </c>
      <c r="K25" s="31" t="s">
        <v>2</v>
      </c>
      <c r="L25" s="21" t="s">
        <v>51</v>
      </c>
      <c r="R25" s="94"/>
      <c r="S25" s="94"/>
      <c r="T25" s="94"/>
      <c r="U25" s="94"/>
      <c r="V25" s="94"/>
      <c r="W25" s="94"/>
      <c r="X25" s="94"/>
      <c r="Y25" s="94"/>
      <c r="Z25" s="94"/>
    </row>
    <row r="26" spans="1:26" x14ac:dyDescent="0.25">
      <c r="B26" s="30" t="s">
        <v>55</v>
      </c>
      <c r="C26" s="90">
        <v>2.6</v>
      </c>
      <c r="D26" s="90">
        <v>2.5</v>
      </c>
      <c r="E26" s="90">
        <v>2.2000000000000002</v>
      </c>
      <c r="F26" s="90">
        <v>2</v>
      </c>
      <c r="G26" s="90">
        <v>1.7</v>
      </c>
      <c r="H26" s="90">
        <v>3.3</v>
      </c>
      <c r="I26" s="90">
        <v>1.4</v>
      </c>
      <c r="J26" s="90">
        <v>2.7</v>
      </c>
      <c r="K26" s="31" t="s">
        <v>2</v>
      </c>
      <c r="L26" s="21" t="s">
        <v>51</v>
      </c>
      <c r="R26" s="93"/>
      <c r="S26" s="93"/>
      <c r="T26" s="93"/>
      <c r="U26" s="93"/>
      <c r="V26" s="93"/>
      <c r="W26" s="93"/>
      <c r="X26" s="93"/>
      <c r="Y26" s="93"/>
      <c r="Z26" s="93"/>
    </row>
    <row r="27" spans="1:26" x14ac:dyDescent="0.25">
      <c r="B27" s="30"/>
      <c r="C27" s="38"/>
      <c r="D27" s="25"/>
      <c r="E27" s="25"/>
      <c r="F27" s="25"/>
      <c r="G27" s="27"/>
      <c r="H27" s="27"/>
      <c r="I27" s="27"/>
      <c r="J27" s="27"/>
      <c r="K27" s="27"/>
      <c r="L27" s="27"/>
    </row>
    <row r="28" spans="1:26" x14ac:dyDescent="0.25">
      <c r="B28" s="74" t="s">
        <v>27</v>
      </c>
      <c r="C28" s="35"/>
      <c r="D28" s="35"/>
      <c r="E28" s="35"/>
      <c r="F28" s="35"/>
      <c r="G28" s="21"/>
      <c r="H28" s="21"/>
      <c r="I28" s="21"/>
      <c r="J28" s="21"/>
      <c r="K28" s="21"/>
      <c r="L28" s="21"/>
    </row>
    <row r="29" spans="1:26" x14ac:dyDescent="0.25">
      <c r="B29" s="30" t="s">
        <v>13</v>
      </c>
      <c r="C29" s="21">
        <v>20</v>
      </c>
      <c r="D29" s="21">
        <v>20</v>
      </c>
      <c r="E29" s="21">
        <v>20</v>
      </c>
      <c r="F29" s="21">
        <v>20</v>
      </c>
      <c r="G29" s="21"/>
      <c r="H29" s="21"/>
      <c r="I29" s="21"/>
      <c r="J29" s="21"/>
      <c r="K29" s="21"/>
      <c r="L29" s="21">
        <v>8</v>
      </c>
    </row>
    <row r="30" spans="1:26" ht="14.45" hidden="1" x14ac:dyDescent="0.35"/>
    <row r="31" spans="1:26" ht="14.45" hidden="1" x14ac:dyDescent="0.35">
      <c r="A31" s="6" t="s">
        <v>28</v>
      </c>
      <c r="B31" s="1"/>
      <c r="C31" s="78"/>
      <c r="D31" s="78"/>
      <c r="E31" s="78"/>
      <c r="F31" s="78"/>
      <c r="G31" s="78"/>
      <c r="H31" s="78"/>
      <c r="I31" s="78"/>
      <c r="J31" s="78"/>
      <c r="K31" s="78"/>
      <c r="L31" s="78"/>
    </row>
    <row r="32" spans="1:26" ht="14.45" hidden="1" x14ac:dyDescent="0.35">
      <c r="A32" s="17"/>
      <c r="B32" s="560"/>
      <c r="C32" s="598"/>
      <c r="D32" s="598"/>
      <c r="E32" s="598"/>
      <c r="F32" s="598"/>
      <c r="G32" s="598"/>
      <c r="H32" s="598"/>
      <c r="I32" s="598"/>
      <c r="J32" s="598"/>
      <c r="K32" s="598"/>
      <c r="L32" s="598"/>
    </row>
    <row r="33" spans="1:13" ht="14.45" hidden="1" x14ac:dyDescent="0.35">
      <c r="A33" s="17" t="s">
        <v>47</v>
      </c>
      <c r="B33" s="560" t="s">
        <v>46</v>
      </c>
      <c r="C33" s="598"/>
      <c r="D33" s="598"/>
      <c r="E33" s="598"/>
      <c r="F33" s="598"/>
      <c r="G33" s="598"/>
      <c r="H33" s="598"/>
      <c r="I33" s="598"/>
      <c r="J33" s="598"/>
      <c r="K33" s="598"/>
      <c r="L33" s="598"/>
    </row>
    <row r="34" spans="1:13" ht="14.45" hidden="1" x14ac:dyDescent="0.35">
      <c r="A34" s="18">
        <v>3</v>
      </c>
      <c r="B34" t="s">
        <v>49</v>
      </c>
      <c r="C34"/>
      <c r="D34"/>
      <c r="E34"/>
      <c r="F34"/>
      <c r="G34"/>
      <c r="H34"/>
      <c r="I34"/>
      <c r="J34"/>
      <c r="K34"/>
      <c r="L34"/>
    </row>
    <row r="35" spans="1:13" ht="14.45" hidden="1" x14ac:dyDescent="0.35">
      <c r="A35" s="17">
        <v>4</v>
      </c>
      <c r="B35" s="42" t="s">
        <v>48</v>
      </c>
      <c r="C35" s="42"/>
      <c r="D35" s="42"/>
      <c r="E35" s="42"/>
      <c r="F35" s="42"/>
      <c r="G35" s="42"/>
      <c r="H35" s="42"/>
      <c r="I35" s="42"/>
      <c r="J35" s="42"/>
      <c r="K35" s="42"/>
      <c r="L35" s="42"/>
    </row>
    <row r="36" spans="1:13" ht="14.45" hidden="1" x14ac:dyDescent="0.35">
      <c r="A36" s="17">
        <v>5</v>
      </c>
      <c r="B36" s="560" t="s">
        <v>50</v>
      </c>
      <c r="C36" s="598"/>
      <c r="D36" s="598"/>
      <c r="E36" s="598"/>
      <c r="F36" s="598"/>
      <c r="G36" s="598"/>
      <c r="H36" s="598"/>
      <c r="I36" s="598"/>
      <c r="J36" s="598"/>
      <c r="K36" s="598"/>
      <c r="L36" s="598"/>
    </row>
    <row r="37" spans="1:13" ht="14.45" hidden="1" x14ac:dyDescent="0.35">
      <c r="A37" s="17"/>
      <c r="B37" s="560"/>
      <c r="C37" s="598"/>
      <c r="D37" s="598"/>
      <c r="E37" s="598"/>
      <c r="F37" s="598"/>
      <c r="G37" s="598"/>
      <c r="H37" s="598"/>
      <c r="I37" s="598"/>
      <c r="J37" s="598"/>
      <c r="K37" s="598"/>
      <c r="L37" s="598"/>
    </row>
    <row r="38" spans="1:13" x14ac:dyDescent="0.25">
      <c r="A38" s="1"/>
      <c r="B38" s="560"/>
      <c r="C38" s="598"/>
      <c r="D38" s="598"/>
      <c r="E38" s="598"/>
      <c r="F38" s="598"/>
      <c r="G38" s="598"/>
      <c r="H38" s="598"/>
      <c r="I38" s="598"/>
      <c r="J38" s="598"/>
      <c r="K38" s="598"/>
      <c r="L38" s="598"/>
    </row>
    <row r="39" spans="1:13" x14ac:dyDescent="0.25">
      <c r="A39" s="19" t="s">
        <v>6</v>
      </c>
      <c r="B39" s="82"/>
      <c r="C39" s="15"/>
      <c r="D39" s="15"/>
      <c r="E39" s="15"/>
      <c r="F39" s="15"/>
      <c r="G39" s="15"/>
      <c r="H39" s="15"/>
      <c r="I39" s="15"/>
      <c r="J39" s="15"/>
      <c r="K39" s="15"/>
      <c r="L39" s="15"/>
    </row>
    <row r="40" spans="1:13" x14ac:dyDescent="0.25">
      <c r="A40" s="4" t="s">
        <v>5</v>
      </c>
      <c r="B40" s="560" t="s">
        <v>52</v>
      </c>
      <c r="C40" s="598"/>
      <c r="D40" s="598"/>
      <c r="E40" s="598"/>
      <c r="F40" s="598"/>
      <c r="G40" s="598"/>
      <c r="H40" s="598"/>
      <c r="I40" s="598"/>
      <c r="J40" s="598"/>
      <c r="K40" s="598"/>
      <c r="L40" s="598"/>
    </row>
    <row r="41" spans="1:13" x14ac:dyDescent="0.25">
      <c r="A41" s="4" t="s">
        <v>4</v>
      </c>
      <c r="B41" s="560" t="s">
        <v>68</v>
      </c>
      <c r="C41" s="598"/>
      <c r="D41" s="598"/>
      <c r="E41" s="598"/>
      <c r="F41" s="598"/>
      <c r="G41" s="598"/>
      <c r="H41" s="598"/>
      <c r="I41" s="598"/>
      <c r="J41" s="598"/>
      <c r="K41" s="598"/>
      <c r="L41" s="598"/>
    </row>
    <row r="42" spans="1:13" x14ac:dyDescent="0.25">
      <c r="A42" s="4" t="s">
        <v>3</v>
      </c>
      <c r="B42" s="593" t="s">
        <v>69</v>
      </c>
      <c r="C42" s="597"/>
      <c r="D42" s="597"/>
      <c r="E42" s="597"/>
      <c r="F42" s="597"/>
      <c r="G42" s="597"/>
      <c r="H42" s="597"/>
      <c r="I42" s="597"/>
      <c r="J42" s="597"/>
      <c r="K42" s="597"/>
      <c r="L42" s="597"/>
    </row>
    <row r="43" spans="1:13" s="43" customFormat="1" ht="74.25" customHeight="1" x14ac:dyDescent="0.25">
      <c r="A43" s="75" t="s">
        <v>2</v>
      </c>
      <c r="B43" s="593" t="s">
        <v>83</v>
      </c>
      <c r="C43" s="597"/>
      <c r="D43" s="597"/>
      <c r="E43" s="597"/>
      <c r="F43" s="597"/>
      <c r="G43" s="597"/>
      <c r="H43" s="597"/>
      <c r="I43" s="597"/>
      <c r="J43" s="597"/>
      <c r="K43" s="597"/>
      <c r="L43" s="597"/>
      <c r="M43" s="24"/>
    </row>
    <row r="44" spans="1:13" ht="25.5" customHeight="1" x14ac:dyDescent="0.25">
      <c r="A44" s="4" t="s">
        <v>1</v>
      </c>
      <c r="B44" s="560" t="s">
        <v>70</v>
      </c>
      <c r="C44" s="598"/>
      <c r="D44" s="598"/>
      <c r="E44" s="598"/>
      <c r="F44" s="598"/>
      <c r="G44" s="598"/>
      <c r="H44" s="598"/>
      <c r="I44" s="598"/>
      <c r="J44" s="598"/>
      <c r="K44" s="598"/>
      <c r="L44" s="598"/>
    </row>
    <row r="45" spans="1:13" ht="24" customHeight="1" x14ac:dyDescent="0.25">
      <c r="A45" s="4" t="s">
        <v>0</v>
      </c>
      <c r="B45" s="560" t="s">
        <v>71</v>
      </c>
      <c r="C45" s="598"/>
      <c r="D45" s="598"/>
      <c r="E45" s="598"/>
      <c r="F45" s="598"/>
      <c r="G45" s="598"/>
      <c r="H45" s="598"/>
      <c r="I45" s="598"/>
      <c r="J45" s="598"/>
      <c r="K45" s="598"/>
      <c r="L45" s="598"/>
    </row>
    <row r="46" spans="1:13" ht="24" customHeight="1" x14ac:dyDescent="0.25">
      <c r="A46" s="4" t="s">
        <v>41</v>
      </c>
      <c r="B46" s="599" t="s">
        <v>72</v>
      </c>
      <c r="C46" s="598"/>
      <c r="D46" s="598"/>
      <c r="E46" s="598"/>
      <c r="F46" s="598"/>
      <c r="G46" s="598"/>
      <c r="H46" s="598"/>
      <c r="I46" s="598"/>
      <c r="J46" s="598"/>
      <c r="K46" s="598"/>
      <c r="L46" s="598"/>
    </row>
  </sheetData>
  <mergeCells count="15">
    <mergeCell ref="B33:L33"/>
    <mergeCell ref="C3:L3"/>
    <mergeCell ref="G4:H4"/>
    <mergeCell ref="I4:J4"/>
    <mergeCell ref="B32:L32"/>
    <mergeCell ref="B43:L43"/>
    <mergeCell ref="B44:L44"/>
    <mergeCell ref="B45:L45"/>
    <mergeCell ref="B46:L46"/>
    <mergeCell ref="B36:L36"/>
    <mergeCell ref="B37:L37"/>
    <mergeCell ref="B38:L38"/>
    <mergeCell ref="B40:L40"/>
    <mergeCell ref="B41:L41"/>
    <mergeCell ref="B42:L42"/>
  </mergeCells>
  <hyperlinks>
    <hyperlink ref="B35" r:id="rId1"/>
    <hyperlink ref="H1" location="Index" display="Back to Index"/>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76"/>
  <sheetViews>
    <sheetView showGridLines="0" zoomScaleNormal="100" workbookViewId="0">
      <selection activeCell="Q9" sqref="Q9"/>
    </sheetView>
  </sheetViews>
  <sheetFormatPr defaultRowHeight="15" x14ac:dyDescent="0.25"/>
  <cols>
    <col min="1" max="1" width="2" style="1" customWidth="1"/>
    <col min="2" max="2" width="33.85546875" style="1" customWidth="1"/>
    <col min="3" max="10" width="7.140625" style="1" customWidth="1"/>
    <col min="11" max="11" width="5" style="1" customWidth="1"/>
    <col min="12" max="12" width="16.85546875" style="62" customWidth="1"/>
    <col min="13" max="13" width="4.42578125" style="1" customWidth="1"/>
    <col min="14" max="17" width="9.140625" customWidth="1"/>
    <col min="18" max="18" width="30.140625" customWidth="1"/>
    <col min="19" max="19" width="10.28515625" customWidth="1"/>
    <col min="20" max="20" width="9.7109375" customWidth="1"/>
    <col min="21" max="21" width="10" customWidth="1"/>
    <col min="22" max="22" width="7.85546875" customWidth="1"/>
    <col min="23" max="23" width="7.140625" customWidth="1"/>
    <col min="24" max="24" width="7.7109375" customWidth="1"/>
  </cols>
  <sheetData>
    <row r="1" spans="1:24" ht="20.25" x14ac:dyDescent="0.3">
      <c r="A1" s="5"/>
      <c r="B1" s="16" t="s">
        <v>21</v>
      </c>
      <c r="C1" s="549" t="s">
        <v>370</v>
      </c>
      <c r="D1" s="549"/>
      <c r="E1" s="549"/>
      <c r="F1" s="549"/>
      <c r="G1" s="549"/>
      <c r="H1" s="551" t="s">
        <v>709</v>
      </c>
      <c r="I1" s="549"/>
      <c r="J1" s="549"/>
      <c r="K1" s="549"/>
      <c r="L1" s="549"/>
      <c r="R1" s="10"/>
      <c r="S1" s="10"/>
      <c r="T1" s="10"/>
      <c r="U1" s="10"/>
      <c r="V1" s="10"/>
      <c r="W1" s="10"/>
      <c r="X1" s="10"/>
    </row>
    <row r="2" spans="1:24" x14ac:dyDescent="0.25">
      <c r="A2" s="5"/>
      <c r="B2" s="5"/>
      <c r="C2" s="5"/>
      <c r="D2" s="5"/>
      <c r="E2" s="5"/>
      <c r="F2" s="5"/>
      <c r="G2" s="5"/>
      <c r="H2" s="5"/>
      <c r="I2" s="5"/>
      <c r="J2" s="5"/>
      <c r="K2" s="5"/>
      <c r="L2" s="59"/>
      <c r="R2" s="10"/>
      <c r="S2" s="10"/>
      <c r="T2" s="10"/>
      <c r="U2" s="79"/>
      <c r="V2" s="10"/>
      <c r="W2" s="10"/>
      <c r="X2" s="10"/>
    </row>
    <row r="3" spans="1:24" ht="15" customHeight="1" x14ac:dyDescent="0.25">
      <c r="A3" s="5"/>
      <c r="B3" s="46" t="s">
        <v>20</v>
      </c>
      <c r="C3" s="606" t="s">
        <v>53</v>
      </c>
      <c r="D3" s="607"/>
      <c r="E3" s="607"/>
      <c r="F3" s="607"/>
      <c r="G3" s="607"/>
      <c r="H3" s="607"/>
      <c r="I3" s="607"/>
      <c r="J3" s="607"/>
      <c r="K3" s="607"/>
      <c r="L3" s="607"/>
      <c r="S3" s="608"/>
      <c r="T3" s="609"/>
      <c r="U3" s="609"/>
      <c r="V3" s="609"/>
      <c r="W3" s="609"/>
      <c r="X3" s="609"/>
    </row>
    <row r="4" spans="1:24" ht="25.5" customHeight="1" x14ac:dyDescent="0.25">
      <c r="A4" s="5"/>
      <c r="B4" s="47"/>
      <c r="C4" s="84">
        <v>2015</v>
      </c>
      <c r="D4" s="84">
        <v>2020</v>
      </c>
      <c r="E4" s="84">
        <v>2030</v>
      </c>
      <c r="F4" s="84">
        <v>2050</v>
      </c>
      <c r="G4" s="606" t="s">
        <v>26</v>
      </c>
      <c r="H4" s="606"/>
      <c r="I4" s="606" t="s">
        <v>25</v>
      </c>
      <c r="J4" s="606"/>
      <c r="K4" s="84" t="s">
        <v>19</v>
      </c>
      <c r="L4" s="84" t="s">
        <v>18</v>
      </c>
      <c r="R4" s="11"/>
      <c r="S4" s="85"/>
      <c r="T4" s="85"/>
      <c r="U4" s="85"/>
      <c r="V4" s="85"/>
      <c r="W4" s="85"/>
      <c r="X4" s="85"/>
    </row>
    <row r="5" spans="1:24" ht="15" customHeight="1" x14ac:dyDescent="0.25">
      <c r="A5" s="5"/>
      <c r="B5" s="48" t="s">
        <v>15</v>
      </c>
      <c r="C5" s="48"/>
      <c r="D5" s="48"/>
      <c r="E5" s="48"/>
      <c r="F5" s="48"/>
      <c r="G5" s="68" t="s">
        <v>17</v>
      </c>
      <c r="H5" s="68" t="s">
        <v>16</v>
      </c>
      <c r="I5" s="68" t="s">
        <v>17</v>
      </c>
      <c r="J5" s="68" t="s">
        <v>16</v>
      </c>
      <c r="K5" s="48"/>
      <c r="L5" s="58"/>
      <c r="R5" s="610"/>
      <c r="S5" s="610"/>
      <c r="T5" s="610"/>
      <c r="U5" s="610"/>
      <c r="V5" s="610"/>
      <c r="W5" s="610"/>
      <c r="X5" s="610"/>
    </row>
    <row r="6" spans="1:24" x14ac:dyDescent="0.25">
      <c r="A6" s="5"/>
      <c r="B6" s="76" t="s">
        <v>73</v>
      </c>
      <c r="C6" s="50">
        <v>32</v>
      </c>
      <c r="D6" s="50">
        <v>154</v>
      </c>
      <c r="E6" s="50">
        <v>400</v>
      </c>
      <c r="F6" s="50">
        <v>400</v>
      </c>
      <c r="G6" s="50"/>
      <c r="H6" s="50"/>
      <c r="I6" s="50"/>
      <c r="J6" s="50"/>
      <c r="K6" s="50"/>
      <c r="L6" s="65" t="s">
        <v>56</v>
      </c>
      <c r="R6" s="82"/>
      <c r="S6" s="611"/>
      <c r="T6" s="612"/>
      <c r="U6" s="612"/>
      <c r="V6" s="612"/>
      <c r="W6" s="612"/>
      <c r="X6" s="612"/>
    </row>
    <row r="7" spans="1:24" ht="15" customHeight="1" x14ac:dyDescent="0.25">
      <c r="A7" s="5"/>
      <c r="B7" s="57"/>
      <c r="C7" s="50"/>
      <c r="D7" s="50"/>
      <c r="E7" s="50"/>
      <c r="F7" s="50"/>
      <c r="G7" s="50"/>
      <c r="H7" s="50"/>
      <c r="I7" s="50"/>
      <c r="J7" s="50"/>
      <c r="K7" s="50"/>
      <c r="L7" s="65"/>
      <c r="R7" s="82"/>
      <c r="S7" s="80"/>
      <c r="T7" s="81"/>
      <c r="U7" s="81"/>
      <c r="V7" s="81"/>
      <c r="W7" s="81"/>
      <c r="X7" s="81"/>
    </row>
    <row r="8" spans="1:24" ht="15" customHeight="1" x14ac:dyDescent="0.25">
      <c r="A8" s="5"/>
      <c r="B8" s="51" t="s">
        <v>35</v>
      </c>
      <c r="C8" s="50"/>
      <c r="D8" s="50"/>
      <c r="E8" s="50"/>
      <c r="F8" s="50"/>
      <c r="G8" s="50"/>
      <c r="H8" s="50"/>
      <c r="I8" s="50"/>
      <c r="J8" s="50"/>
      <c r="K8" s="50" t="s">
        <v>4</v>
      </c>
      <c r="L8" s="65"/>
      <c r="R8" s="82"/>
      <c r="S8" s="80"/>
      <c r="T8" s="81"/>
      <c r="U8" s="81"/>
      <c r="V8" s="81"/>
      <c r="W8" s="81"/>
      <c r="X8" s="81"/>
    </row>
    <row r="9" spans="1:24" x14ac:dyDescent="0.25">
      <c r="A9" s="5"/>
      <c r="B9" s="49" t="s">
        <v>78</v>
      </c>
      <c r="C9" s="50">
        <v>91</v>
      </c>
      <c r="D9" s="50">
        <v>100</v>
      </c>
      <c r="E9" s="50">
        <v>100</v>
      </c>
      <c r="F9" s="50">
        <v>100</v>
      </c>
      <c r="G9" s="50"/>
      <c r="H9" s="50"/>
      <c r="I9" s="50"/>
      <c r="J9" s="50"/>
      <c r="K9" s="50"/>
      <c r="L9" s="65"/>
      <c r="R9" s="82"/>
      <c r="S9" s="80"/>
      <c r="T9" s="81"/>
      <c r="U9" s="81"/>
      <c r="V9" s="81"/>
      <c r="W9" s="81"/>
      <c r="X9" s="81"/>
    </row>
    <row r="10" spans="1:24" x14ac:dyDescent="0.25">
      <c r="A10" s="5"/>
      <c r="B10" s="49" t="s">
        <v>79</v>
      </c>
      <c r="C10" s="50">
        <v>9</v>
      </c>
      <c r="D10" s="50">
        <v>0</v>
      </c>
      <c r="E10" s="50">
        <v>0</v>
      </c>
      <c r="F10" s="50">
        <v>0</v>
      </c>
      <c r="G10" s="50"/>
      <c r="H10" s="50"/>
      <c r="I10" s="50"/>
      <c r="J10" s="50"/>
      <c r="K10" s="50" t="s">
        <v>4</v>
      </c>
      <c r="L10" s="65"/>
      <c r="R10" s="82"/>
      <c r="S10" s="80"/>
      <c r="T10" s="81"/>
      <c r="U10" s="81"/>
      <c r="V10" s="81"/>
      <c r="W10" s="81"/>
      <c r="X10" s="81"/>
    </row>
    <row r="11" spans="1:24" ht="15" customHeight="1" x14ac:dyDescent="0.25">
      <c r="A11" s="5"/>
      <c r="B11" s="52"/>
      <c r="C11" s="50"/>
      <c r="D11" s="50"/>
      <c r="E11" s="50"/>
      <c r="F11" s="50"/>
      <c r="G11" s="50"/>
      <c r="H11" s="50"/>
      <c r="I11" s="50"/>
      <c r="J11" s="50"/>
      <c r="K11" s="50"/>
      <c r="L11" s="65"/>
      <c r="R11" s="82"/>
      <c r="S11" s="80"/>
      <c r="T11" s="81"/>
      <c r="U11" s="81"/>
      <c r="V11" s="81"/>
      <c r="W11" s="81"/>
      <c r="X11" s="81"/>
    </row>
    <row r="12" spans="1:24" ht="15" customHeight="1" x14ac:dyDescent="0.25">
      <c r="A12" s="5"/>
      <c r="B12" s="51" t="s">
        <v>36</v>
      </c>
      <c r="C12" s="50"/>
      <c r="D12" s="50"/>
      <c r="E12" s="50"/>
      <c r="F12" s="50"/>
      <c r="G12" s="50"/>
      <c r="H12" s="50"/>
      <c r="I12" s="50"/>
      <c r="J12" s="50"/>
      <c r="K12" s="50" t="s">
        <v>4</v>
      </c>
      <c r="L12" s="65"/>
      <c r="R12" s="82"/>
      <c r="S12" s="80"/>
      <c r="T12" s="81"/>
      <c r="U12" s="81"/>
      <c r="V12" s="81"/>
      <c r="W12" s="81"/>
      <c r="X12" s="81"/>
    </row>
    <row r="13" spans="1:24" x14ac:dyDescent="0.25">
      <c r="A13" s="5"/>
      <c r="B13" s="49" t="s">
        <v>82</v>
      </c>
      <c r="C13" s="50">
        <v>56</v>
      </c>
      <c r="D13" s="50">
        <v>60</v>
      </c>
      <c r="E13" s="50">
        <v>63</v>
      </c>
      <c r="F13" s="50">
        <v>70</v>
      </c>
      <c r="G13" s="50">
        <v>58</v>
      </c>
      <c r="H13" s="50">
        <v>65</v>
      </c>
      <c r="I13" s="50">
        <v>65</v>
      </c>
      <c r="J13" s="50">
        <v>75</v>
      </c>
      <c r="K13" s="50" t="s">
        <v>41</v>
      </c>
      <c r="L13" s="65" t="s">
        <v>57</v>
      </c>
      <c r="R13" s="82"/>
      <c r="S13" s="80"/>
      <c r="T13" s="81"/>
      <c r="U13" s="81"/>
      <c r="V13" s="81"/>
      <c r="W13" s="81"/>
      <c r="X13" s="81"/>
    </row>
    <row r="14" spans="1:24" x14ac:dyDescent="0.25">
      <c r="A14" s="5"/>
      <c r="B14" s="49" t="s">
        <v>81</v>
      </c>
      <c r="C14" s="50">
        <v>15</v>
      </c>
      <c r="D14" s="50">
        <v>20</v>
      </c>
      <c r="E14" s="50">
        <v>22</v>
      </c>
      <c r="F14" s="50">
        <v>20</v>
      </c>
      <c r="G14" s="50"/>
      <c r="H14" s="50"/>
      <c r="I14" s="50"/>
      <c r="J14" s="50"/>
      <c r="K14" s="50" t="s">
        <v>42</v>
      </c>
      <c r="L14" s="65" t="s">
        <v>57</v>
      </c>
      <c r="R14" s="82"/>
      <c r="S14" s="80"/>
      <c r="T14" s="81"/>
      <c r="U14" s="81"/>
      <c r="V14" s="81"/>
      <c r="W14" s="81"/>
      <c r="X14" s="81"/>
    </row>
    <row r="15" spans="1:24" x14ac:dyDescent="0.25">
      <c r="A15" s="5"/>
      <c r="B15" s="49"/>
      <c r="C15" s="50"/>
      <c r="D15" s="50"/>
      <c r="E15" s="50"/>
      <c r="F15" s="50"/>
      <c r="G15" s="50"/>
      <c r="H15" s="50"/>
      <c r="I15" s="50"/>
      <c r="J15" s="50"/>
      <c r="K15" s="50"/>
      <c r="L15" s="65"/>
      <c r="R15" s="82"/>
      <c r="S15" s="12"/>
      <c r="T15" s="12"/>
      <c r="U15" s="12"/>
      <c r="V15" s="12"/>
      <c r="W15" s="12"/>
      <c r="X15" s="12"/>
    </row>
    <row r="16" spans="1:24" x14ac:dyDescent="0.25">
      <c r="A16" s="5"/>
      <c r="B16" s="49" t="s">
        <v>77</v>
      </c>
      <c r="C16" s="50">
        <v>3</v>
      </c>
      <c r="D16" s="50">
        <v>3</v>
      </c>
      <c r="E16" s="50">
        <v>3</v>
      </c>
      <c r="F16" s="50">
        <v>3</v>
      </c>
      <c r="G16" s="50"/>
      <c r="H16" s="50"/>
      <c r="I16" s="50"/>
      <c r="J16" s="50"/>
      <c r="K16" s="50"/>
      <c r="L16" s="65"/>
      <c r="R16" s="82"/>
      <c r="S16" s="12"/>
      <c r="T16" s="12"/>
      <c r="U16" s="12"/>
      <c r="V16" s="12"/>
      <c r="W16" s="12"/>
      <c r="X16" s="12"/>
    </row>
    <row r="17" spans="1:24" x14ac:dyDescent="0.25">
      <c r="A17" s="5"/>
      <c r="B17" s="49" t="s">
        <v>24</v>
      </c>
      <c r="C17" s="50">
        <v>3</v>
      </c>
      <c r="D17" s="50">
        <v>3</v>
      </c>
      <c r="E17" s="50">
        <v>3</v>
      </c>
      <c r="F17" s="50">
        <v>3</v>
      </c>
      <c r="G17" s="50"/>
      <c r="H17" s="50"/>
      <c r="I17" s="50"/>
      <c r="J17" s="50"/>
      <c r="K17" s="50"/>
      <c r="L17" s="65"/>
      <c r="R17" s="82"/>
      <c r="S17" s="12"/>
      <c r="T17" s="12"/>
      <c r="U17" s="12"/>
      <c r="V17" s="12"/>
      <c r="W17" s="12"/>
      <c r="X17" s="12"/>
    </row>
    <row r="18" spans="1:24" x14ac:dyDescent="0.25">
      <c r="A18" s="5"/>
      <c r="B18" s="49" t="s">
        <v>14</v>
      </c>
      <c r="C18" s="50">
        <v>15</v>
      </c>
      <c r="D18" s="50">
        <v>20</v>
      </c>
      <c r="E18" s="50">
        <v>20</v>
      </c>
      <c r="F18" s="50">
        <v>20</v>
      </c>
      <c r="G18" s="50"/>
      <c r="H18" s="50"/>
      <c r="I18" s="50"/>
      <c r="J18" s="50"/>
      <c r="K18" s="50"/>
      <c r="L18" s="65"/>
      <c r="R18" s="82"/>
      <c r="S18" s="12"/>
      <c r="T18" s="12"/>
      <c r="U18" s="12"/>
      <c r="V18" s="12"/>
      <c r="W18" s="12"/>
      <c r="X18" s="12"/>
    </row>
    <row r="19" spans="1:24" x14ac:dyDescent="0.25">
      <c r="A19" s="5"/>
      <c r="B19" s="49" t="s">
        <v>12</v>
      </c>
      <c r="C19" s="50">
        <v>2.5</v>
      </c>
      <c r="D19" s="50">
        <v>2.5</v>
      </c>
      <c r="E19" s="50">
        <v>2.5</v>
      </c>
      <c r="F19" s="50">
        <v>2.5</v>
      </c>
      <c r="G19" s="50"/>
      <c r="H19" s="50"/>
      <c r="I19" s="50"/>
      <c r="J19" s="50"/>
      <c r="K19" s="50"/>
      <c r="L19" s="65"/>
      <c r="R19" s="82"/>
      <c r="S19" s="12"/>
      <c r="T19" s="12"/>
      <c r="U19" s="12"/>
      <c r="V19" s="12"/>
      <c r="W19" s="12"/>
      <c r="X19" s="12"/>
    </row>
    <row r="20" spans="1:24" x14ac:dyDescent="0.25">
      <c r="A20" s="5"/>
      <c r="B20" s="49"/>
      <c r="C20" s="50"/>
      <c r="D20" s="50"/>
      <c r="E20" s="50"/>
      <c r="F20" s="50"/>
      <c r="G20" s="50"/>
      <c r="H20" s="50"/>
      <c r="I20" s="50"/>
      <c r="J20" s="50"/>
      <c r="K20" s="50"/>
      <c r="L20" s="65"/>
      <c r="R20" s="82"/>
      <c r="S20" s="12"/>
      <c r="T20" s="12"/>
      <c r="U20" s="12"/>
      <c r="V20" s="12"/>
      <c r="W20" s="12"/>
      <c r="X20" s="12"/>
    </row>
    <row r="21" spans="1:24" x14ac:dyDescent="0.25">
      <c r="A21" s="5"/>
      <c r="B21" s="48" t="s">
        <v>9</v>
      </c>
      <c r="C21" s="48"/>
      <c r="D21" s="48"/>
      <c r="E21" s="48"/>
      <c r="F21" s="48"/>
      <c r="G21" s="48"/>
      <c r="H21" s="48"/>
      <c r="I21" s="48"/>
      <c r="J21" s="48"/>
      <c r="K21" s="48"/>
      <c r="L21" s="66"/>
      <c r="R21" s="82"/>
      <c r="S21" s="12"/>
      <c r="T21" s="12"/>
      <c r="U21" s="12"/>
      <c r="V21" s="12"/>
      <c r="W21" s="12"/>
      <c r="X21" s="12"/>
    </row>
    <row r="22" spans="1:24" ht="15" customHeight="1" x14ac:dyDescent="0.25">
      <c r="A22" s="5"/>
      <c r="B22" s="76" t="s">
        <v>54</v>
      </c>
      <c r="C22" s="50">
        <v>4</v>
      </c>
      <c r="D22" s="50">
        <v>2.5</v>
      </c>
      <c r="E22" s="50">
        <v>1.6</v>
      </c>
      <c r="F22" s="50">
        <v>1.5</v>
      </c>
      <c r="G22" s="50">
        <v>1.8</v>
      </c>
      <c r="H22" s="50">
        <v>3</v>
      </c>
      <c r="I22" s="50">
        <v>1.4</v>
      </c>
      <c r="J22" s="50">
        <v>2.6</v>
      </c>
      <c r="K22" s="50" t="s">
        <v>1</v>
      </c>
      <c r="L22" s="67" t="s">
        <v>58</v>
      </c>
      <c r="Q22" s="93"/>
      <c r="R22" s="93"/>
      <c r="S22" s="93"/>
      <c r="T22" s="93"/>
      <c r="U22" s="93"/>
      <c r="V22" s="93"/>
      <c r="W22" s="93"/>
      <c r="X22" s="93"/>
    </row>
    <row r="23" spans="1:24" ht="16.5" customHeight="1" x14ac:dyDescent="0.25">
      <c r="A23" s="5"/>
      <c r="B23" s="49" t="s">
        <v>8</v>
      </c>
      <c r="C23" s="50" t="s">
        <v>29</v>
      </c>
      <c r="D23" s="50"/>
      <c r="E23" s="50"/>
      <c r="F23" s="50"/>
      <c r="G23" s="50"/>
      <c r="H23" s="50"/>
      <c r="I23" s="50"/>
      <c r="J23" s="50"/>
      <c r="K23" s="50"/>
      <c r="L23" s="65"/>
      <c r="Q23" s="93"/>
      <c r="R23" s="93"/>
      <c r="S23" s="93"/>
      <c r="T23" s="93"/>
      <c r="U23" s="93"/>
      <c r="V23" s="92"/>
      <c r="W23" s="92"/>
      <c r="X23" s="12"/>
    </row>
    <row r="24" spans="1:24" ht="16.5" customHeight="1" x14ac:dyDescent="0.25">
      <c r="A24" s="5"/>
      <c r="B24" s="49" t="s">
        <v>7</v>
      </c>
      <c r="C24" s="50" t="s">
        <v>29</v>
      </c>
      <c r="D24" s="50"/>
      <c r="E24" s="50"/>
      <c r="F24" s="50"/>
      <c r="G24" s="50"/>
      <c r="H24" s="50"/>
      <c r="I24" s="50"/>
      <c r="J24" s="50"/>
      <c r="K24" s="50"/>
      <c r="L24" s="65"/>
      <c r="Q24" s="93"/>
      <c r="R24" s="93"/>
      <c r="S24" s="93"/>
      <c r="T24" s="93"/>
      <c r="U24" s="93"/>
      <c r="V24" s="92"/>
      <c r="W24" s="92"/>
      <c r="X24" s="12"/>
    </row>
    <row r="25" spans="1:24" x14ac:dyDescent="0.25">
      <c r="A25" s="5"/>
      <c r="B25" s="49" t="s">
        <v>74</v>
      </c>
      <c r="C25" s="97">
        <v>80500</v>
      </c>
      <c r="D25" s="97">
        <v>40200</v>
      </c>
      <c r="E25" s="97">
        <v>26200</v>
      </c>
      <c r="F25" s="97">
        <v>24100</v>
      </c>
      <c r="G25" s="97">
        <v>30200</v>
      </c>
      <c r="H25" s="97">
        <v>50300</v>
      </c>
      <c r="I25" s="97">
        <v>18100</v>
      </c>
      <c r="J25" s="97">
        <v>30200</v>
      </c>
      <c r="K25" s="50" t="s">
        <v>0</v>
      </c>
      <c r="L25" s="65" t="s">
        <v>59</v>
      </c>
      <c r="Q25" s="94"/>
      <c r="R25" s="94"/>
      <c r="S25" s="94"/>
      <c r="T25" s="94"/>
      <c r="U25" s="94"/>
      <c r="V25" s="94"/>
      <c r="W25" s="94"/>
      <c r="X25" s="94"/>
    </row>
    <row r="26" spans="1:24" x14ac:dyDescent="0.25">
      <c r="A26" s="5"/>
      <c r="B26" s="49" t="s">
        <v>55</v>
      </c>
      <c r="C26" s="50">
        <v>5.3</v>
      </c>
      <c r="D26" s="50">
        <v>2.7</v>
      </c>
      <c r="E26" s="50">
        <v>1.7</v>
      </c>
      <c r="F26" s="50">
        <v>1.6</v>
      </c>
      <c r="G26" s="50">
        <v>1.8</v>
      </c>
      <c r="H26" s="50">
        <v>3.5</v>
      </c>
      <c r="I26" s="50">
        <v>1.1000000000000001</v>
      </c>
      <c r="J26" s="50">
        <v>2.1</v>
      </c>
      <c r="K26" s="50" t="s">
        <v>0</v>
      </c>
      <c r="L26" s="65" t="s">
        <v>59</v>
      </c>
      <c r="Q26" s="93"/>
      <c r="R26" s="93"/>
      <c r="S26" s="93"/>
      <c r="T26" s="93"/>
      <c r="U26" s="93"/>
      <c r="V26" s="93"/>
      <c r="W26" s="93"/>
      <c r="X26" s="93"/>
    </row>
    <row r="27" spans="1:24" ht="15" customHeight="1" x14ac:dyDescent="0.25">
      <c r="A27" s="5"/>
      <c r="B27" s="49"/>
      <c r="C27" s="55"/>
      <c r="D27" s="53"/>
      <c r="E27" s="53"/>
      <c r="F27" s="53"/>
      <c r="G27" s="50"/>
      <c r="H27" s="50"/>
      <c r="I27" s="50"/>
      <c r="J27" s="50"/>
      <c r="K27" s="50"/>
      <c r="L27" s="65"/>
      <c r="R27" s="82"/>
      <c r="S27" s="12"/>
      <c r="T27" s="12"/>
      <c r="U27" s="12"/>
      <c r="V27" s="12"/>
      <c r="W27" s="12"/>
      <c r="X27" s="12"/>
    </row>
    <row r="28" spans="1:24" ht="15" customHeight="1" x14ac:dyDescent="0.25">
      <c r="A28" s="5"/>
      <c r="B28" s="64" t="s">
        <v>27</v>
      </c>
      <c r="C28" s="54"/>
      <c r="D28" s="54"/>
      <c r="E28" s="54"/>
      <c r="F28" s="54"/>
      <c r="G28" s="50"/>
      <c r="H28" s="50"/>
      <c r="I28" s="50"/>
      <c r="J28" s="50"/>
      <c r="K28" s="50"/>
      <c r="L28" s="65"/>
      <c r="R28" s="82"/>
      <c r="S28" s="12"/>
      <c r="T28" s="12"/>
      <c r="U28" s="12"/>
      <c r="V28" s="12"/>
      <c r="W28" s="12"/>
      <c r="X28" s="12"/>
    </row>
    <row r="29" spans="1:24" ht="15" customHeight="1" x14ac:dyDescent="0.25">
      <c r="A29" s="5"/>
      <c r="B29" s="49" t="s">
        <v>23</v>
      </c>
      <c r="C29" s="50">
        <v>6</v>
      </c>
      <c r="D29" s="50">
        <v>6</v>
      </c>
      <c r="E29" s="50">
        <v>6</v>
      </c>
      <c r="F29" s="50">
        <v>6</v>
      </c>
      <c r="G29" s="50"/>
      <c r="H29" s="50"/>
      <c r="I29" s="50"/>
      <c r="J29" s="50"/>
      <c r="K29" s="50" t="s">
        <v>3</v>
      </c>
      <c r="L29" s="65"/>
      <c r="R29" s="82"/>
      <c r="S29" s="12"/>
      <c r="T29" s="12"/>
      <c r="U29" s="12"/>
      <c r="V29" s="12"/>
      <c r="W29" s="12"/>
      <c r="X29" s="12"/>
    </row>
    <row r="30" spans="1:24" ht="15" customHeight="1" x14ac:dyDescent="0.25">
      <c r="A30" s="5"/>
      <c r="B30" s="49" t="s">
        <v>22</v>
      </c>
      <c r="C30" s="50">
        <v>12</v>
      </c>
      <c r="D30" s="50">
        <v>12</v>
      </c>
      <c r="E30" s="50">
        <v>12</v>
      </c>
      <c r="F30" s="50">
        <v>12</v>
      </c>
      <c r="G30" s="50"/>
      <c r="H30" s="50"/>
      <c r="I30" s="50"/>
      <c r="J30" s="50"/>
      <c r="K30" s="50" t="s">
        <v>3</v>
      </c>
      <c r="L30" s="65"/>
      <c r="R30" s="82"/>
      <c r="S30" s="12"/>
      <c r="T30" s="12"/>
      <c r="U30" s="12"/>
      <c r="V30" s="12"/>
      <c r="W30" s="12"/>
      <c r="X30" s="12"/>
    </row>
    <row r="31" spans="1:24" ht="15" customHeight="1" x14ac:dyDescent="0.25">
      <c r="A31" s="5"/>
      <c r="B31" s="49"/>
      <c r="C31" s="50"/>
      <c r="D31" s="50"/>
      <c r="E31" s="50"/>
      <c r="F31" s="50"/>
      <c r="G31" s="50"/>
      <c r="H31" s="50"/>
      <c r="I31" s="50"/>
      <c r="J31" s="50"/>
      <c r="K31" s="50"/>
      <c r="L31" s="65"/>
      <c r="R31" s="82"/>
      <c r="S31" s="12"/>
      <c r="T31" s="12"/>
      <c r="U31" s="12"/>
      <c r="V31" s="12"/>
      <c r="W31" s="12"/>
      <c r="X31" s="12"/>
    </row>
    <row r="32" spans="1:24" ht="15" customHeight="1" x14ac:dyDescent="0.25">
      <c r="A32" s="5"/>
      <c r="B32" s="48" t="s">
        <v>11</v>
      </c>
      <c r="C32" s="48"/>
      <c r="D32" s="48"/>
      <c r="E32" s="48"/>
      <c r="F32" s="48"/>
      <c r="G32" s="48"/>
      <c r="H32" s="48"/>
      <c r="I32" s="48"/>
      <c r="J32" s="48"/>
      <c r="K32" s="48"/>
      <c r="L32" s="66"/>
      <c r="R32" s="82"/>
      <c r="S32" s="12"/>
      <c r="T32" s="12"/>
      <c r="U32" s="12"/>
      <c r="V32" s="12"/>
      <c r="W32" s="12"/>
      <c r="X32" s="12"/>
    </row>
    <row r="33" spans="1:24" ht="15" customHeight="1" x14ac:dyDescent="0.25">
      <c r="A33" s="5"/>
      <c r="B33" s="49" t="s">
        <v>10</v>
      </c>
      <c r="C33" s="50">
        <v>16</v>
      </c>
      <c r="D33" s="50">
        <v>20</v>
      </c>
      <c r="E33" s="50">
        <v>20</v>
      </c>
      <c r="F33" s="50">
        <v>20</v>
      </c>
      <c r="G33" s="50"/>
      <c r="H33" s="50"/>
      <c r="I33" s="50"/>
      <c r="J33" s="50"/>
      <c r="K33" s="50" t="s">
        <v>2</v>
      </c>
      <c r="L33" s="65" t="s">
        <v>75</v>
      </c>
      <c r="R33" s="82"/>
      <c r="S33" s="12"/>
      <c r="T33" s="12"/>
      <c r="U33" s="12"/>
      <c r="V33" s="12"/>
      <c r="W33" s="12"/>
      <c r="X33" s="12"/>
    </row>
    <row r="34" spans="1:24" ht="15" customHeight="1" x14ac:dyDescent="0.25">
      <c r="A34" s="5"/>
      <c r="B34" s="49" t="s">
        <v>60</v>
      </c>
      <c r="C34" s="50">
        <v>0</v>
      </c>
      <c r="D34" s="50">
        <v>0</v>
      </c>
      <c r="E34" s="50">
        <v>0</v>
      </c>
      <c r="F34" s="50">
        <v>0</v>
      </c>
      <c r="G34" s="50"/>
      <c r="H34" s="50"/>
      <c r="I34" s="56"/>
      <c r="J34" s="56"/>
      <c r="K34" s="50" t="s">
        <v>2</v>
      </c>
      <c r="L34" s="65">
        <v>29</v>
      </c>
      <c r="R34" s="82"/>
      <c r="S34" s="12"/>
      <c r="T34" s="12"/>
      <c r="U34" s="12"/>
      <c r="V34" s="12"/>
      <c r="W34" s="12"/>
      <c r="X34" s="12"/>
    </row>
    <row r="35" spans="1:24" ht="15" customHeight="1" x14ac:dyDescent="0.25">
      <c r="A35" s="5"/>
      <c r="B35" s="49" t="s">
        <v>61</v>
      </c>
      <c r="C35" s="50">
        <v>0.3</v>
      </c>
      <c r="D35" s="50">
        <v>1</v>
      </c>
      <c r="E35" s="50">
        <v>1</v>
      </c>
      <c r="F35" s="50">
        <v>0</v>
      </c>
      <c r="G35" s="50"/>
      <c r="H35" s="50"/>
      <c r="I35" s="54"/>
      <c r="J35" s="54"/>
      <c r="K35" s="50" t="s">
        <v>2</v>
      </c>
      <c r="L35" s="65" t="s">
        <v>75</v>
      </c>
      <c r="R35" s="82"/>
      <c r="S35" s="12"/>
      <c r="T35" s="12"/>
      <c r="U35" s="12"/>
      <c r="V35" s="12"/>
      <c r="W35" s="12"/>
      <c r="X35" s="12"/>
    </row>
    <row r="36" spans="1:24" ht="14.45" hidden="1" x14ac:dyDescent="0.35">
      <c r="A36" s="6" t="s">
        <v>28</v>
      </c>
      <c r="C36" s="41"/>
      <c r="D36" s="41"/>
      <c r="E36" s="41"/>
      <c r="F36" s="41"/>
      <c r="G36" s="41"/>
      <c r="H36" s="41"/>
      <c r="I36" s="41"/>
      <c r="J36" s="41"/>
      <c r="K36" s="78"/>
      <c r="L36" s="60"/>
    </row>
    <row r="37" spans="1:24" ht="15" hidden="1" customHeight="1" x14ac:dyDescent="0.35">
      <c r="A37" s="17">
        <v>1</v>
      </c>
      <c r="B37" s="562" t="s">
        <v>37</v>
      </c>
      <c r="C37" s="605"/>
      <c r="D37" s="605"/>
      <c r="E37" s="605"/>
      <c r="F37" s="605"/>
      <c r="G37" s="605"/>
      <c r="H37" s="605"/>
      <c r="I37" s="605"/>
      <c r="J37" s="605"/>
      <c r="K37" s="605"/>
      <c r="L37" s="605"/>
    </row>
    <row r="38" spans="1:24" ht="15" hidden="1" customHeight="1" x14ac:dyDescent="0.35">
      <c r="A38" s="17">
        <v>2</v>
      </c>
      <c r="B38" s="562" t="s">
        <v>31</v>
      </c>
      <c r="C38" s="605"/>
      <c r="D38" s="605"/>
      <c r="E38" s="605"/>
      <c r="F38" s="605"/>
      <c r="G38" s="605"/>
      <c r="H38" s="605"/>
      <c r="I38" s="605"/>
      <c r="J38" s="605"/>
      <c r="K38" s="605"/>
      <c r="L38" s="605"/>
    </row>
    <row r="39" spans="1:24" ht="15" hidden="1" customHeight="1" x14ac:dyDescent="0.35">
      <c r="A39" s="18">
        <v>3</v>
      </c>
      <c r="B39" s="562" t="s">
        <v>44</v>
      </c>
      <c r="C39" s="605"/>
      <c r="D39" s="605"/>
      <c r="E39" s="605"/>
      <c r="F39" s="605"/>
      <c r="G39" s="605"/>
      <c r="H39" s="605"/>
      <c r="I39" s="605"/>
      <c r="J39" s="605"/>
      <c r="K39" s="605"/>
      <c r="L39" s="605"/>
    </row>
    <row r="40" spans="1:24" s="14" customFormat="1" ht="15.75" hidden="1" customHeight="1" x14ac:dyDescent="0.35">
      <c r="A40" s="17">
        <v>4</v>
      </c>
      <c r="B40" s="562" t="s">
        <v>38</v>
      </c>
      <c r="C40" s="605"/>
      <c r="D40" s="605"/>
      <c r="E40" s="605"/>
      <c r="F40" s="605"/>
      <c r="G40" s="605"/>
      <c r="H40" s="605"/>
      <c r="I40" s="605"/>
      <c r="J40" s="605"/>
      <c r="K40" s="605"/>
      <c r="L40" s="605"/>
      <c r="M40" s="13"/>
    </row>
    <row r="41" spans="1:24" ht="15" hidden="1" customHeight="1" x14ac:dyDescent="0.35">
      <c r="A41" s="17">
        <v>5</v>
      </c>
      <c r="B41" s="82" t="s">
        <v>40</v>
      </c>
      <c r="C41" s="82"/>
      <c r="D41" s="82"/>
      <c r="E41" s="82"/>
      <c r="F41" s="82"/>
      <c r="G41" s="82"/>
      <c r="H41" s="82"/>
      <c r="I41" s="82"/>
      <c r="J41" s="82"/>
      <c r="K41" s="82"/>
      <c r="L41" s="12"/>
    </row>
    <row r="42" spans="1:24" ht="21" hidden="1" customHeight="1" x14ac:dyDescent="0.35">
      <c r="A42" s="17">
        <v>6</v>
      </c>
      <c r="B42" s="562" t="s">
        <v>32</v>
      </c>
      <c r="C42" s="605"/>
      <c r="D42" s="605"/>
      <c r="E42" s="605"/>
      <c r="F42" s="605"/>
      <c r="G42" s="605"/>
      <c r="H42" s="605"/>
      <c r="I42" s="605"/>
      <c r="J42" s="605"/>
      <c r="K42" s="605"/>
      <c r="L42" s="605"/>
    </row>
    <row r="43" spans="1:24" ht="34.5" customHeight="1" x14ac:dyDescent="0.25">
      <c r="A43" s="45" t="s">
        <v>6</v>
      </c>
      <c r="B43" s="82"/>
      <c r="C43" s="15"/>
      <c r="D43" s="15"/>
      <c r="E43" s="15"/>
      <c r="F43" s="15"/>
      <c r="G43" s="15"/>
      <c r="H43" s="15"/>
      <c r="I43" s="15"/>
      <c r="J43" s="15"/>
      <c r="K43" s="15"/>
      <c r="L43" s="61"/>
    </row>
    <row r="44" spans="1:24" ht="13.5" customHeight="1" x14ac:dyDescent="0.25">
      <c r="A44" s="4" t="s">
        <v>5</v>
      </c>
      <c r="B44" s="77" t="s">
        <v>30</v>
      </c>
      <c r="C44" s="78"/>
      <c r="D44" s="78"/>
      <c r="E44" s="78"/>
      <c r="F44" s="78"/>
      <c r="G44" s="78"/>
      <c r="H44" s="78"/>
      <c r="I44" s="78"/>
      <c r="J44" s="78"/>
      <c r="K44" s="78"/>
      <c r="L44" s="60"/>
    </row>
    <row r="45" spans="1:24" ht="14.25" customHeight="1" x14ac:dyDescent="0.25">
      <c r="A45" s="4" t="s">
        <v>4</v>
      </c>
      <c r="B45" s="562" t="s">
        <v>39</v>
      </c>
      <c r="C45" s="605"/>
      <c r="D45" s="605"/>
      <c r="E45" s="605"/>
      <c r="F45" s="605"/>
      <c r="G45" s="605"/>
      <c r="H45" s="605"/>
      <c r="I45" s="605"/>
      <c r="J45" s="605"/>
      <c r="K45" s="605"/>
      <c r="L45" s="605"/>
    </row>
    <row r="46" spans="1:24" ht="13.5" customHeight="1" x14ac:dyDescent="0.25">
      <c r="A46" s="4" t="s">
        <v>3</v>
      </c>
      <c r="B46" s="562" t="s">
        <v>33</v>
      </c>
      <c r="C46" s="605"/>
      <c r="D46" s="605"/>
      <c r="E46" s="605"/>
      <c r="F46" s="605"/>
      <c r="G46" s="605"/>
      <c r="H46" s="605"/>
      <c r="I46" s="605"/>
      <c r="J46" s="605"/>
      <c r="K46" s="605"/>
      <c r="L46" s="605"/>
    </row>
    <row r="47" spans="1:24" ht="30" customHeight="1" x14ac:dyDescent="0.25">
      <c r="A47" s="4" t="s">
        <v>2</v>
      </c>
      <c r="B47" s="562" t="s">
        <v>76</v>
      </c>
      <c r="C47" s="605"/>
      <c r="D47" s="605"/>
      <c r="E47" s="605"/>
      <c r="F47" s="605"/>
      <c r="G47" s="605"/>
      <c r="H47" s="605"/>
      <c r="I47" s="605"/>
      <c r="J47" s="605"/>
      <c r="K47" s="605"/>
      <c r="L47" s="605"/>
    </row>
    <row r="48" spans="1:24" ht="56.25" customHeight="1" x14ac:dyDescent="0.25">
      <c r="A48" s="4" t="s">
        <v>1</v>
      </c>
      <c r="B48" s="599" t="s">
        <v>84</v>
      </c>
      <c r="C48" s="605"/>
      <c r="D48" s="605"/>
      <c r="E48" s="605"/>
      <c r="F48" s="605"/>
      <c r="G48" s="605"/>
      <c r="H48" s="605"/>
      <c r="I48" s="605"/>
      <c r="J48" s="605"/>
      <c r="K48" s="605"/>
      <c r="L48" s="605"/>
      <c r="M48" s="78"/>
    </row>
    <row r="49" spans="1:12" ht="15" customHeight="1" x14ac:dyDescent="0.25">
      <c r="A49" s="4" t="s">
        <v>0</v>
      </c>
      <c r="B49" s="599" t="s">
        <v>34</v>
      </c>
      <c r="C49" s="605"/>
      <c r="D49" s="605"/>
      <c r="E49" s="605"/>
      <c r="F49" s="605"/>
      <c r="G49" s="605"/>
      <c r="H49" s="605"/>
      <c r="I49" s="605"/>
      <c r="J49" s="605"/>
      <c r="K49" s="605"/>
      <c r="L49" s="605"/>
    </row>
    <row r="50" spans="1:12" ht="27.95" customHeight="1" x14ac:dyDescent="0.25">
      <c r="A50" s="4" t="s">
        <v>41</v>
      </c>
      <c r="B50" s="599" t="s">
        <v>43</v>
      </c>
      <c r="C50" s="605"/>
      <c r="D50" s="605"/>
      <c r="E50" s="605"/>
      <c r="F50" s="605"/>
      <c r="G50" s="605"/>
      <c r="H50" s="605"/>
      <c r="I50" s="605"/>
      <c r="J50" s="605"/>
      <c r="K50" s="605"/>
      <c r="L50" s="605"/>
    </row>
    <row r="51" spans="1:12" ht="24.75" customHeight="1" x14ac:dyDescent="0.25">
      <c r="A51" s="4" t="s">
        <v>42</v>
      </c>
      <c r="B51" s="599" t="s">
        <v>45</v>
      </c>
      <c r="C51" s="605"/>
      <c r="D51" s="605"/>
      <c r="E51" s="605"/>
      <c r="F51" s="605"/>
      <c r="G51" s="605"/>
      <c r="H51" s="605"/>
      <c r="I51" s="605"/>
      <c r="J51" s="605"/>
      <c r="K51" s="605"/>
      <c r="L51" s="605"/>
    </row>
    <row r="52" spans="1:12" x14ac:dyDescent="0.25">
      <c r="A52" s="23"/>
      <c r="B52" s="78"/>
      <c r="C52" s="78"/>
      <c r="D52" s="78"/>
      <c r="E52" s="78"/>
      <c r="F52" s="78"/>
      <c r="G52" s="78"/>
      <c r="H52" s="78"/>
      <c r="I52" s="78"/>
      <c r="J52" s="78"/>
      <c r="K52" s="78"/>
      <c r="L52" s="60"/>
    </row>
    <row r="53" spans="1:12" x14ac:dyDescent="0.25">
      <c r="A53" s="23"/>
      <c r="B53" s="78"/>
      <c r="C53" s="78"/>
      <c r="D53" s="78"/>
      <c r="E53" s="78"/>
      <c r="F53" s="78"/>
      <c r="G53" s="78"/>
      <c r="H53" s="78"/>
      <c r="I53" s="78"/>
      <c r="J53" s="78"/>
      <c r="K53" s="78"/>
      <c r="L53" s="60"/>
    </row>
    <row r="54" spans="1:12" x14ac:dyDescent="0.25">
      <c r="A54" s="23"/>
      <c r="B54" s="20"/>
      <c r="C54" s="78"/>
      <c r="D54" s="78"/>
      <c r="E54" s="78"/>
      <c r="F54" s="78"/>
      <c r="G54" s="78"/>
      <c r="H54" s="78"/>
      <c r="I54" s="78"/>
      <c r="J54" s="78"/>
      <c r="K54" s="78"/>
      <c r="L54" s="60"/>
    </row>
    <row r="55" spans="1:12" x14ac:dyDescent="0.25">
      <c r="A55" s="23"/>
      <c r="B55" s="78"/>
      <c r="C55" s="78"/>
      <c r="D55" s="78"/>
      <c r="E55" s="78"/>
      <c r="F55" s="78"/>
      <c r="G55" s="78"/>
      <c r="H55" s="78"/>
      <c r="I55" s="78"/>
      <c r="J55" s="78"/>
      <c r="K55" s="78"/>
      <c r="L55" s="60"/>
    </row>
    <row r="56" spans="1:12" x14ac:dyDescent="0.25">
      <c r="B56" s="7"/>
    </row>
    <row r="57" spans="1:12" x14ac:dyDescent="0.25">
      <c r="B57" s="78"/>
    </row>
    <row r="58" spans="1:12" x14ac:dyDescent="0.25">
      <c r="B58" s="78"/>
    </row>
    <row r="59" spans="1:12" x14ac:dyDescent="0.25">
      <c r="B59" s="78"/>
    </row>
    <row r="60" spans="1:12" x14ac:dyDescent="0.25">
      <c r="B60" s="78"/>
    </row>
    <row r="61" spans="1:12" x14ac:dyDescent="0.25">
      <c r="B61" s="78"/>
    </row>
    <row r="70" spans="2:12" x14ac:dyDescent="0.25">
      <c r="C70" s="22"/>
      <c r="D70" s="22"/>
      <c r="E70" s="22"/>
      <c r="F70" s="22"/>
      <c r="G70" s="22"/>
      <c r="H70" s="22"/>
      <c r="I70" s="22"/>
      <c r="J70" s="22"/>
      <c r="K70" s="22"/>
      <c r="L70" s="63"/>
    </row>
    <row r="73" spans="2:12" x14ac:dyDescent="0.25">
      <c r="C73" s="3"/>
      <c r="D73" s="3"/>
    </row>
    <row r="74" spans="2:12" x14ac:dyDescent="0.25">
      <c r="C74" s="2"/>
      <c r="D74" s="2"/>
      <c r="E74" s="2"/>
    </row>
    <row r="76" spans="2:12" x14ac:dyDescent="0.25">
      <c r="B76" s="22"/>
    </row>
  </sheetData>
  <mergeCells count="18">
    <mergeCell ref="B42:L42"/>
    <mergeCell ref="C3:L3"/>
    <mergeCell ref="S3:X3"/>
    <mergeCell ref="G4:H4"/>
    <mergeCell ref="I4:J4"/>
    <mergeCell ref="R5:X5"/>
    <mergeCell ref="S6:X6"/>
    <mergeCell ref="B37:L37"/>
    <mergeCell ref="B38:L38"/>
    <mergeCell ref="B39:L39"/>
    <mergeCell ref="B40:L40"/>
    <mergeCell ref="B51:L51"/>
    <mergeCell ref="B45:L45"/>
    <mergeCell ref="B46:L46"/>
    <mergeCell ref="B47:L47"/>
    <mergeCell ref="B48:L48"/>
    <mergeCell ref="B49:L49"/>
    <mergeCell ref="B50:L50"/>
  </mergeCells>
  <hyperlinks>
    <hyperlink ref="H1" location="Index" display="Back to Index"/>
  </hyperlinks>
  <pageMargins left="0.7" right="0.7" top="0.75" bottom="0.75" header="0.3" footer="0.3"/>
  <pageSetup paperSize="9" scale="3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M64"/>
  <sheetViews>
    <sheetView showGridLines="0" zoomScaleNormal="100" workbookViewId="0">
      <selection activeCell="P40" sqref="P40"/>
    </sheetView>
  </sheetViews>
  <sheetFormatPr defaultRowHeight="15" x14ac:dyDescent="0.25"/>
  <cols>
    <col min="1" max="1" width="2.28515625" customWidth="1"/>
    <col min="2" max="2" width="38.42578125" customWidth="1"/>
    <col min="3" max="12" width="8.28515625" customWidth="1"/>
  </cols>
  <sheetData>
    <row r="1" spans="2:13" x14ac:dyDescent="0.25">
      <c r="H1" s="355" t="s">
        <v>709</v>
      </c>
    </row>
    <row r="2" spans="2:13" ht="15" customHeight="1" x14ac:dyDescent="0.25">
      <c r="B2" s="512" t="s">
        <v>20</v>
      </c>
      <c r="C2" s="613" t="s">
        <v>812</v>
      </c>
      <c r="D2" s="613"/>
      <c r="E2" s="613"/>
      <c r="F2" s="613"/>
      <c r="G2" s="613"/>
      <c r="H2" s="613"/>
      <c r="I2" s="613"/>
      <c r="J2" s="613"/>
      <c r="K2" s="613"/>
      <c r="L2" s="613"/>
      <c r="M2" s="613"/>
    </row>
    <row r="3" spans="2:13" ht="15" customHeight="1" x14ac:dyDescent="0.25">
      <c r="B3" s="205"/>
      <c r="C3" s="205">
        <v>2015</v>
      </c>
      <c r="D3" s="205">
        <v>2020</v>
      </c>
      <c r="E3" s="205">
        <v>2030</v>
      </c>
      <c r="F3" s="205">
        <v>2040</v>
      </c>
      <c r="G3" s="205">
        <v>2050</v>
      </c>
      <c r="H3" s="614" t="s">
        <v>26</v>
      </c>
      <c r="I3" s="614"/>
      <c r="J3" s="614" t="s">
        <v>25</v>
      </c>
      <c r="K3" s="614"/>
      <c r="L3" s="513" t="s">
        <v>19</v>
      </c>
      <c r="M3" s="513" t="s">
        <v>18</v>
      </c>
    </row>
    <row r="4" spans="2:13" x14ac:dyDescent="0.25">
      <c r="B4" s="514"/>
      <c r="C4" s="514"/>
      <c r="D4" s="514"/>
      <c r="E4" s="514"/>
      <c r="F4" s="514"/>
      <c r="G4" s="514"/>
      <c r="H4" s="515" t="s">
        <v>17</v>
      </c>
      <c r="I4" s="515" t="s">
        <v>16</v>
      </c>
      <c r="J4" s="515" t="s">
        <v>17</v>
      </c>
      <c r="K4" s="515" t="s">
        <v>16</v>
      </c>
      <c r="L4" s="515"/>
      <c r="M4" s="515"/>
    </row>
    <row r="5" spans="2:13" x14ac:dyDescent="0.25">
      <c r="B5" s="516" t="s">
        <v>15</v>
      </c>
      <c r="C5" s="517"/>
      <c r="D5" s="517"/>
      <c r="E5" s="517"/>
      <c r="F5" s="517"/>
      <c r="G5" s="517"/>
      <c r="H5" s="517"/>
      <c r="I5" s="517"/>
      <c r="J5" s="517"/>
      <c r="K5" s="517"/>
      <c r="L5" s="518"/>
      <c r="M5" s="519"/>
    </row>
    <row r="6" spans="2:13" x14ac:dyDescent="0.25">
      <c r="B6" s="520" t="s">
        <v>572</v>
      </c>
      <c r="C6" s="520">
        <v>50</v>
      </c>
      <c r="D6" s="520">
        <v>50</v>
      </c>
      <c r="E6" s="520">
        <v>100</v>
      </c>
      <c r="F6" s="520">
        <v>125</v>
      </c>
      <c r="G6" s="520">
        <v>150</v>
      </c>
      <c r="H6" s="521">
        <v>1</v>
      </c>
      <c r="I6" s="521">
        <v>1.5</v>
      </c>
      <c r="J6" s="521">
        <v>0.5</v>
      </c>
      <c r="K6" s="521">
        <v>1.5</v>
      </c>
      <c r="L6" s="522" t="s">
        <v>420</v>
      </c>
      <c r="M6" s="522" t="s">
        <v>515</v>
      </c>
    </row>
    <row r="7" spans="2:13" x14ac:dyDescent="0.25">
      <c r="B7" s="514" t="s">
        <v>548</v>
      </c>
      <c r="C7" s="514">
        <v>75</v>
      </c>
      <c r="D7" s="514">
        <v>75</v>
      </c>
      <c r="E7" s="514">
        <v>150</v>
      </c>
      <c r="F7" s="514">
        <v>190</v>
      </c>
      <c r="G7" s="514">
        <v>225</v>
      </c>
      <c r="H7" s="523">
        <v>1</v>
      </c>
      <c r="I7" s="523">
        <v>1.5</v>
      </c>
      <c r="J7" s="523">
        <v>0.5</v>
      </c>
      <c r="K7" s="523">
        <v>1.5</v>
      </c>
      <c r="L7" s="515" t="s">
        <v>422</v>
      </c>
      <c r="M7" s="515" t="s">
        <v>515</v>
      </c>
    </row>
    <row r="8" spans="2:13" x14ac:dyDescent="0.25">
      <c r="B8" s="516" t="s">
        <v>249</v>
      </c>
      <c r="C8" s="517"/>
      <c r="D8" s="517"/>
      <c r="E8" s="517"/>
      <c r="F8" s="517"/>
      <c r="G8" s="517"/>
      <c r="H8" s="517"/>
      <c r="I8" s="517"/>
      <c r="J8" s="517"/>
      <c r="K8" s="517"/>
      <c r="L8" s="518"/>
      <c r="M8" s="519"/>
    </row>
    <row r="9" spans="2:13" x14ac:dyDescent="0.25">
      <c r="B9" s="524" t="s">
        <v>485</v>
      </c>
      <c r="C9" s="525">
        <v>1</v>
      </c>
      <c r="D9" s="525">
        <v>1</v>
      </c>
      <c r="E9" s="525">
        <v>1</v>
      </c>
      <c r="F9" s="525">
        <v>1</v>
      </c>
      <c r="G9" s="525">
        <v>1</v>
      </c>
      <c r="H9" s="526">
        <v>0.8</v>
      </c>
      <c r="I9" s="526">
        <v>1</v>
      </c>
      <c r="J9" s="526">
        <v>0.8</v>
      </c>
      <c r="K9" s="526">
        <v>1</v>
      </c>
      <c r="L9" s="527" t="s">
        <v>3</v>
      </c>
      <c r="M9" s="527">
        <v>1</v>
      </c>
    </row>
    <row r="10" spans="2:13" x14ac:dyDescent="0.25">
      <c r="B10" s="516" t="s">
        <v>253</v>
      </c>
      <c r="C10" s="517"/>
      <c r="D10" s="517"/>
      <c r="E10" s="517"/>
      <c r="F10" s="517"/>
      <c r="G10" s="517"/>
      <c r="H10" s="528"/>
      <c r="I10" s="528"/>
      <c r="J10" s="528"/>
      <c r="K10" s="528"/>
      <c r="L10" s="518"/>
      <c r="M10" s="519"/>
    </row>
    <row r="11" spans="2:13" x14ac:dyDescent="0.25">
      <c r="B11" s="520" t="s">
        <v>739</v>
      </c>
      <c r="C11" s="529">
        <v>0.1376</v>
      </c>
      <c r="D11" s="529">
        <v>0.1376</v>
      </c>
      <c r="E11" s="530">
        <f>D11*0.4/0.38</f>
        <v>0.14484210526315791</v>
      </c>
      <c r="F11" s="530">
        <f>(E11+G11)/2</f>
        <v>0.15389473684210528</v>
      </c>
      <c r="G11" s="530">
        <f>D11*0.45/0.38</f>
        <v>0.16294736842105265</v>
      </c>
      <c r="H11" s="531">
        <v>0.8</v>
      </c>
      <c r="I11" s="531">
        <v>1.1000000000000001</v>
      </c>
      <c r="J11" s="531">
        <v>0.8</v>
      </c>
      <c r="K11" s="531">
        <v>1.1000000000000001</v>
      </c>
      <c r="L11" s="522" t="s">
        <v>2</v>
      </c>
      <c r="M11" s="522">
        <v>1</v>
      </c>
    </row>
    <row r="12" spans="2:13" x14ac:dyDescent="0.25">
      <c r="B12" s="205" t="s">
        <v>759</v>
      </c>
      <c r="C12" s="532">
        <v>1.47E-2</v>
      </c>
      <c r="D12" s="532">
        <v>1.47E-2</v>
      </c>
      <c r="E12" s="533">
        <f t="shared" ref="E12:E13" si="0">D12*0.4/0.38</f>
        <v>1.5473684210526315E-2</v>
      </c>
      <c r="F12" s="533">
        <f t="shared" ref="F12:F14" si="1">(E12+G12)/2</f>
        <v>1.6440789473684211E-2</v>
      </c>
      <c r="G12" s="533">
        <f t="shared" ref="G12:G13" si="2">D12*0.45/0.38</f>
        <v>1.7407894736842105E-2</v>
      </c>
      <c r="H12" s="534">
        <v>0.8</v>
      </c>
      <c r="I12" s="534">
        <v>1.1000000000000001</v>
      </c>
      <c r="J12" s="534">
        <v>0.8</v>
      </c>
      <c r="K12" s="534">
        <v>1.1000000000000001</v>
      </c>
      <c r="L12" s="513" t="s">
        <v>2</v>
      </c>
      <c r="M12" s="513">
        <v>1</v>
      </c>
    </row>
    <row r="13" spans="2:13" x14ac:dyDescent="0.25">
      <c r="B13" s="205" t="s">
        <v>760</v>
      </c>
      <c r="C13" s="532">
        <v>9.98E-2</v>
      </c>
      <c r="D13" s="532">
        <v>9.98E-2</v>
      </c>
      <c r="E13" s="533">
        <f t="shared" si="0"/>
        <v>0.10505263157894738</v>
      </c>
      <c r="F13" s="533">
        <f t="shared" si="1"/>
        <v>0.11161842105263159</v>
      </c>
      <c r="G13" s="533">
        <f t="shared" si="2"/>
        <v>0.11818421052631578</v>
      </c>
      <c r="H13" s="534">
        <v>0.8</v>
      </c>
      <c r="I13" s="534">
        <v>1.1000000000000001</v>
      </c>
      <c r="J13" s="534">
        <v>0.8</v>
      </c>
      <c r="K13" s="534">
        <v>1.1000000000000001</v>
      </c>
      <c r="L13" s="513" t="s">
        <v>2</v>
      </c>
      <c r="M13" s="513">
        <v>1</v>
      </c>
    </row>
    <row r="14" spans="2:13" x14ac:dyDescent="0.25">
      <c r="B14" s="514" t="s">
        <v>761</v>
      </c>
      <c r="C14" s="535">
        <v>1.17E-2</v>
      </c>
      <c r="D14" s="535">
        <v>1.17E-2</v>
      </c>
      <c r="E14" s="536">
        <v>1.6E-2</v>
      </c>
      <c r="F14" s="536">
        <f t="shared" si="1"/>
        <v>1.8000000000000002E-2</v>
      </c>
      <c r="G14" s="536">
        <v>0.02</v>
      </c>
      <c r="H14" s="537">
        <v>0.8</v>
      </c>
      <c r="I14" s="537">
        <v>1.1000000000000001</v>
      </c>
      <c r="J14" s="537">
        <v>0.8</v>
      </c>
      <c r="K14" s="537">
        <v>1.1000000000000001</v>
      </c>
      <c r="L14" s="515" t="s">
        <v>2</v>
      </c>
      <c r="M14" s="515">
        <v>1</v>
      </c>
    </row>
    <row r="15" spans="2:13" x14ac:dyDescent="0.25">
      <c r="B15" s="538"/>
      <c r="C15" s="517"/>
      <c r="D15" s="517"/>
      <c r="E15" s="517"/>
      <c r="F15" s="517"/>
      <c r="G15" s="517"/>
      <c r="H15" s="517"/>
      <c r="I15" s="517"/>
      <c r="J15" s="517"/>
      <c r="K15" s="517"/>
      <c r="L15" s="517"/>
      <c r="M15" s="539"/>
    </row>
    <row r="16" spans="2:13" x14ac:dyDescent="0.25">
      <c r="B16" s="520" t="s">
        <v>100</v>
      </c>
      <c r="C16" s="520">
        <v>4</v>
      </c>
      <c r="D16" s="520">
        <v>4</v>
      </c>
      <c r="E16" s="520">
        <v>0</v>
      </c>
      <c r="F16" s="520">
        <v>0</v>
      </c>
      <c r="G16" s="520">
        <v>0</v>
      </c>
      <c r="H16" s="531"/>
      <c r="I16" s="531"/>
      <c r="J16" s="531"/>
      <c r="K16" s="531"/>
      <c r="L16" s="522"/>
      <c r="M16" s="522"/>
    </row>
    <row r="17" spans="2:13" x14ac:dyDescent="0.25">
      <c r="B17" s="205" t="s">
        <v>24</v>
      </c>
      <c r="C17" s="540">
        <v>2</v>
      </c>
      <c r="D17" s="540">
        <v>2</v>
      </c>
      <c r="E17" s="540">
        <v>2</v>
      </c>
      <c r="F17" s="540">
        <v>2</v>
      </c>
      <c r="G17" s="540">
        <v>2</v>
      </c>
      <c r="H17" s="534"/>
      <c r="I17" s="534"/>
      <c r="J17" s="534"/>
      <c r="K17" s="534"/>
      <c r="L17" s="513"/>
      <c r="M17" s="513"/>
    </row>
    <row r="18" spans="2:13" x14ac:dyDescent="0.25">
      <c r="B18" s="205" t="s">
        <v>14</v>
      </c>
      <c r="C18" s="541">
        <v>20</v>
      </c>
      <c r="D18" s="540">
        <v>25</v>
      </c>
      <c r="E18" s="540">
        <v>25</v>
      </c>
      <c r="F18" s="540">
        <v>25</v>
      </c>
      <c r="G18" s="540">
        <v>25</v>
      </c>
      <c r="H18" s="205"/>
      <c r="I18" s="205"/>
      <c r="J18" s="205"/>
      <c r="K18" s="205"/>
      <c r="L18" s="513"/>
      <c r="M18" s="513"/>
    </row>
    <row r="19" spans="2:13" x14ac:dyDescent="0.25">
      <c r="B19" s="514" t="s">
        <v>12</v>
      </c>
      <c r="C19" s="542">
        <v>2</v>
      </c>
      <c r="D19" s="542">
        <v>2</v>
      </c>
      <c r="E19" s="542">
        <v>2</v>
      </c>
      <c r="F19" s="542">
        <v>2</v>
      </c>
      <c r="G19" s="542">
        <v>2</v>
      </c>
      <c r="H19" s="514"/>
      <c r="I19" s="514"/>
      <c r="J19" s="514"/>
      <c r="K19" s="514"/>
      <c r="L19" s="515"/>
      <c r="M19" s="515"/>
    </row>
    <row r="20" spans="2:13" x14ac:dyDescent="0.25">
      <c r="B20" s="516" t="s">
        <v>9</v>
      </c>
      <c r="C20" s="543"/>
      <c r="D20" s="543"/>
      <c r="E20" s="543"/>
      <c r="F20" s="543"/>
      <c r="G20" s="543"/>
      <c r="H20" s="517"/>
      <c r="I20" s="517"/>
      <c r="J20" s="517"/>
      <c r="K20" s="517"/>
      <c r="L20" s="518"/>
      <c r="M20" s="519"/>
    </row>
    <row r="21" spans="2:13" x14ac:dyDescent="0.25">
      <c r="B21" s="520" t="s">
        <v>762</v>
      </c>
      <c r="C21" s="544">
        <v>4.329004329004329</v>
      </c>
      <c r="D21" s="544">
        <v>4.329004329004329</v>
      </c>
      <c r="E21" s="544">
        <v>3.8961038961038956</v>
      </c>
      <c r="F21" s="544">
        <v>3.6184210526315788</v>
      </c>
      <c r="G21" s="544">
        <v>3.4632034632034632</v>
      </c>
      <c r="H21" s="521">
        <v>0.75</v>
      </c>
      <c r="I21" s="521">
        <v>1.2</v>
      </c>
      <c r="J21" s="521">
        <v>0.75</v>
      </c>
      <c r="K21" s="521">
        <v>1.2</v>
      </c>
      <c r="L21" s="522" t="s">
        <v>574</v>
      </c>
      <c r="M21" s="522" t="s">
        <v>575</v>
      </c>
    </row>
    <row r="22" spans="2:13" x14ac:dyDescent="0.25">
      <c r="B22" s="205" t="s">
        <v>434</v>
      </c>
      <c r="C22" s="541">
        <v>75</v>
      </c>
      <c r="D22" s="541">
        <v>75</v>
      </c>
      <c r="E22" s="541">
        <v>75</v>
      </c>
      <c r="F22" s="541">
        <v>75</v>
      </c>
      <c r="G22" s="541">
        <v>75</v>
      </c>
      <c r="H22" s="205"/>
      <c r="I22" s="205"/>
      <c r="J22" s="205"/>
      <c r="K22" s="205"/>
      <c r="L22" s="513"/>
      <c r="M22" s="513"/>
    </row>
    <row r="23" spans="2:13" x14ac:dyDescent="0.25">
      <c r="B23" s="205" t="s">
        <v>435</v>
      </c>
      <c r="C23" s="205">
        <v>25</v>
      </c>
      <c r="D23" s="205">
        <v>25</v>
      </c>
      <c r="E23" s="205">
        <v>25</v>
      </c>
      <c r="F23" s="205">
        <v>25</v>
      </c>
      <c r="G23" s="205">
        <v>25</v>
      </c>
      <c r="H23" s="205"/>
      <c r="I23" s="205"/>
      <c r="J23" s="205"/>
      <c r="K23" s="205"/>
      <c r="L23" s="513"/>
      <c r="M23" s="513"/>
    </row>
    <row r="24" spans="2:13" x14ac:dyDescent="0.25">
      <c r="B24" s="205" t="s">
        <v>763</v>
      </c>
      <c r="C24" s="532">
        <v>0.10389610389610389</v>
      </c>
      <c r="D24" s="532">
        <v>0.10389610389610389</v>
      </c>
      <c r="E24" s="532">
        <v>0.10389610389610389</v>
      </c>
      <c r="F24" s="532">
        <v>0.10263157894736842</v>
      </c>
      <c r="G24" s="532">
        <v>0.10389610389610389</v>
      </c>
      <c r="H24" s="545">
        <v>0.75</v>
      </c>
      <c r="I24" s="545">
        <v>1.2</v>
      </c>
      <c r="J24" s="545">
        <v>0.75</v>
      </c>
      <c r="K24" s="545">
        <v>1.2</v>
      </c>
      <c r="L24" s="513" t="s">
        <v>177</v>
      </c>
      <c r="M24" s="513">
        <v>1</v>
      </c>
    </row>
    <row r="25" spans="2:13" x14ac:dyDescent="0.25">
      <c r="B25" s="205" t="s">
        <v>764</v>
      </c>
      <c r="C25" s="532">
        <v>1.0625737898465171</v>
      </c>
      <c r="D25" s="532">
        <v>1.0625737898465171</v>
      </c>
      <c r="E25" s="532">
        <v>1.0625737898465171</v>
      </c>
      <c r="F25" s="532">
        <v>1.0636363636363637</v>
      </c>
      <c r="G25" s="532">
        <v>1.0625737898465171</v>
      </c>
      <c r="H25" s="545">
        <v>0.75</v>
      </c>
      <c r="I25" s="545">
        <v>1.2</v>
      </c>
      <c r="J25" s="545">
        <v>0.75</v>
      </c>
      <c r="K25" s="545">
        <v>1.2</v>
      </c>
      <c r="L25" s="513" t="s">
        <v>177</v>
      </c>
      <c r="M25" s="513">
        <v>1</v>
      </c>
    </row>
    <row r="26" spans="2:13" x14ac:dyDescent="0.25">
      <c r="B26" s="514" t="s">
        <v>578</v>
      </c>
      <c r="C26" s="546">
        <v>0</v>
      </c>
      <c r="D26" s="514">
        <v>0</v>
      </c>
      <c r="E26" s="514">
        <v>0</v>
      </c>
      <c r="F26" s="514">
        <v>0</v>
      </c>
      <c r="G26" s="514">
        <v>0</v>
      </c>
      <c r="H26" s="514"/>
      <c r="I26" s="514"/>
      <c r="J26" s="514"/>
      <c r="K26" s="514"/>
      <c r="L26" s="515" t="s">
        <v>0</v>
      </c>
      <c r="M26" s="515"/>
    </row>
    <row r="27" spans="2:13" x14ac:dyDescent="0.25">
      <c r="B27" s="516" t="s">
        <v>268</v>
      </c>
      <c r="C27" s="517"/>
      <c r="D27" s="517"/>
      <c r="E27" s="517"/>
      <c r="F27" s="517"/>
      <c r="G27" s="517"/>
      <c r="H27" s="528"/>
      <c r="I27" s="528"/>
      <c r="J27" s="528"/>
      <c r="K27" s="528"/>
      <c r="L27" s="518"/>
      <c r="M27" s="519"/>
    </row>
    <row r="28" spans="2:13" x14ac:dyDescent="0.25">
      <c r="B28" s="520" t="s">
        <v>579</v>
      </c>
      <c r="C28" s="547">
        <v>44</v>
      </c>
      <c r="D28" s="547">
        <v>44</v>
      </c>
      <c r="E28" s="547">
        <v>44</v>
      </c>
      <c r="F28" s="547">
        <v>44</v>
      </c>
      <c r="G28" s="547">
        <v>44</v>
      </c>
      <c r="H28" s="531"/>
      <c r="I28" s="531"/>
      <c r="J28" s="531"/>
      <c r="K28" s="531"/>
      <c r="L28" s="522"/>
      <c r="M28" s="522"/>
    </row>
    <row r="29" spans="2:13" x14ac:dyDescent="0.25">
      <c r="B29" s="205" t="s">
        <v>733</v>
      </c>
      <c r="C29" s="540">
        <v>0.77</v>
      </c>
      <c r="D29" s="540">
        <v>0.77</v>
      </c>
      <c r="E29" s="540">
        <v>0.77</v>
      </c>
      <c r="F29" s="540">
        <v>0.77</v>
      </c>
      <c r="G29" s="540">
        <v>0.77</v>
      </c>
      <c r="H29" s="534"/>
      <c r="I29" s="534"/>
      <c r="J29" s="534"/>
      <c r="K29" s="534"/>
      <c r="L29" s="513"/>
      <c r="M29" s="513"/>
    </row>
    <row r="30" spans="2:13" x14ac:dyDescent="0.25">
      <c r="B30" s="205" t="s">
        <v>573</v>
      </c>
      <c r="C30" s="548">
        <v>6.4935064935064934</v>
      </c>
      <c r="D30" s="548">
        <v>6.4935064935064934</v>
      </c>
      <c r="E30" s="548">
        <v>5.8441558441558437</v>
      </c>
      <c r="F30" s="548">
        <v>5.5</v>
      </c>
      <c r="G30" s="548">
        <v>5.1948051948051948</v>
      </c>
      <c r="H30" s="545">
        <v>0.75</v>
      </c>
      <c r="I30" s="545">
        <v>1.2</v>
      </c>
      <c r="J30" s="545">
        <v>0.75</v>
      </c>
      <c r="K30" s="545">
        <v>1.2</v>
      </c>
      <c r="L30" s="513" t="s">
        <v>574</v>
      </c>
      <c r="M30" s="513" t="s">
        <v>575</v>
      </c>
    </row>
    <row r="31" spans="2:13" x14ac:dyDescent="0.25">
      <c r="B31" s="205" t="s">
        <v>434</v>
      </c>
      <c r="C31" s="541">
        <v>75</v>
      </c>
      <c r="D31" s="541">
        <v>75</v>
      </c>
      <c r="E31" s="541">
        <v>75</v>
      </c>
      <c r="F31" s="541">
        <v>75</v>
      </c>
      <c r="G31" s="541">
        <v>75</v>
      </c>
      <c r="H31" s="205"/>
      <c r="I31" s="205"/>
      <c r="J31" s="205"/>
      <c r="K31" s="205"/>
      <c r="L31" s="513"/>
      <c r="M31" s="513"/>
    </row>
    <row r="32" spans="2:13" x14ac:dyDescent="0.25">
      <c r="B32" s="205" t="s">
        <v>435</v>
      </c>
      <c r="C32" s="205">
        <v>25</v>
      </c>
      <c r="D32" s="205">
        <v>25</v>
      </c>
      <c r="E32" s="205">
        <v>25</v>
      </c>
      <c r="F32" s="205">
        <v>25</v>
      </c>
      <c r="G32" s="205">
        <v>25</v>
      </c>
      <c r="H32" s="205"/>
      <c r="I32" s="205"/>
      <c r="J32" s="205"/>
      <c r="K32" s="205"/>
      <c r="L32" s="513"/>
      <c r="M32" s="513"/>
    </row>
    <row r="33" spans="2:13" x14ac:dyDescent="0.25">
      <c r="B33" s="205" t="s">
        <v>576</v>
      </c>
      <c r="C33" s="532">
        <v>0.15584415584415584</v>
      </c>
      <c r="D33" s="532">
        <v>0.15584415584415584</v>
      </c>
      <c r="E33" s="532">
        <v>0.15584415584415584</v>
      </c>
      <c r="F33" s="532">
        <v>0.156</v>
      </c>
      <c r="G33" s="532">
        <v>0.15584415584415584</v>
      </c>
      <c r="H33" s="545">
        <v>0.75</v>
      </c>
      <c r="I33" s="545">
        <v>1.2</v>
      </c>
      <c r="J33" s="545">
        <v>0.75</v>
      </c>
      <c r="K33" s="545">
        <v>1.2</v>
      </c>
      <c r="L33" s="513" t="s">
        <v>177</v>
      </c>
      <c r="M33" s="513">
        <v>1</v>
      </c>
    </row>
    <row r="34" spans="2:13" x14ac:dyDescent="0.25">
      <c r="B34" s="205" t="s">
        <v>577</v>
      </c>
      <c r="C34" s="532">
        <v>1.2987012987012986E-2</v>
      </c>
      <c r="D34" s="532">
        <v>1.2987012987012986E-2</v>
      </c>
      <c r="E34" s="532">
        <v>1.2987012987012986E-2</v>
      </c>
      <c r="F34" s="532">
        <v>1.2999999999999999E-2</v>
      </c>
      <c r="G34" s="532">
        <v>1.2987012987012986E-2</v>
      </c>
      <c r="H34" s="545">
        <v>0.75</v>
      </c>
      <c r="I34" s="545">
        <v>1.2</v>
      </c>
      <c r="J34" s="545">
        <v>0.75</v>
      </c>
      <c r="K34" s="545">
        <v>1.2</v>
      </c>
      <c r="L34" s="513" t="s">
        <v>177</v>
      </c>
      <c r="M34" s="513">
        <v>1</v>
      </c>
    </row>
    <row r="35" spans="2:13" x14ac:dyDescent="0.25">
      <c r="B35" s="205" t="s">
        <v>578</v>
      </c>
      <c r="C35" s="541">
        <v>0</v>
      </c>
      <c r="D35" s="205">
        <v>0</v>
      </c>
      <c r="E35" s="205">
        <v>0</v>
      </c>
      <c r="F35" s="205">
        <v>0</v>
      </c>
      <c r="G35" s="205">
        <v>0</v>
      </c>
      <c r="H35" s="205"/>
      <c r="I35" s="205"/>
      <c r="J35" s="205"/>
      <c r="K35" s="205"/>
      <c r="L35" s="513" t="s">
        <v>0</v>
      </c>
      <c r="M35" s="513"/>
    </row>
    <row r="37" spans="2:13" x14ac:dyDescent="0.25">
      <c r="B37" s="350" t="s">
        <v>6</v>
      </c>
    </row>
    <row r="38" spans="2:13" x14ac:dyDescent="0.25">
      <c r="B38" s="349" t="s">
        <v>580</v>
      </c>
    </row>
    <row r="39" spans="2:13" x14ac:dyDescent="0.25">
      <c r="B39" s="349" t="s">
        <v>581</v>
      </c>
    </row>
    <row r="40" spans="2:13" x14ac:dyDescent="0.25">
      <c r="B40" s="349" t="s">
        <v>582</v>
      </c>
    </row>
    <row r="41" spans="2:13" x14ac:dyDescent="0.25">
      <c r="B41" s="349" t="s">
        <v>583</v>
      </c>
    </row>
    <row r="42" spans="2:13" x14ac:dyDescent="0.25">
      <c r="B42" s="349" t="s">
        <v>584</v>
      </c>
    </row>
    <row r="43" spans="2:13" x14ac:dyDescent="0.25">
      <c r="B43" s="349" t="s">
        <v>585</v>
      </c>
    </row>
    <row r="44" spans="2:13" x14ac:dyDescent="0.25">
      <c r="B44" s="349" t="s">
        <v>586</v>
      </c>
    </row>
    <row r="45" spans="2:13" x14ac:dyDescent="0.25">
      <c r="B45" s="349" t="s">
        <v>587</v>
      </c>
    </row>
    <row r="47" spans="2:13" x14ac:dyDescent="0.25">
      <c r="B47" s="350" t="s">
        <v>408</v>
      </c>
    </row>
    <row r="48" spans="2:13" x14ac:dyDescent="0.25">
      <c r="B48" s="349" t="s">
        <v>588</v>
      </c>
    </row>
    <row r="49" spans="2:2" x14ac:dyDescent="0.25">
      <c r="B49" s="349" t="s">
        <v>589</v>
      </c>
    </row>
    <row r="50" spans="2:2" x14ac:dyDescent="0.25">
      <c r="B50" s="349" t="s">
        <v>590</v>
      </c>
    </row>
    <row r="51" spans="2:2" x14ac:dyDescent="0.25">
      <c r="B51" s="349" t="s">
        <v>591</v>
      </c>
    </row>
    <row r="52" spans="2:2" x14ac:dyDescent="0.25">
      <c r="B52" s="349" t="s">
        <v>592</v>
      </c>
    </row>
    <row r="53" spans="2:2" x14ac:dyDescent="0.25">
      <c r="B53" s="349" t="s">
        <v>593</v>
      </c>
    </row>
    <row r="54" spans="2:2" x14ac:dyDescent="0.25">
      <c r="B54" s="349" t="s">
        <v>594</v>
      </c>
    </row>
    <row r="55" spans="2:2" x14ac:dyDescent="0.25">
      <c r="B55" s="349" t="s">
        <v>595</v>
      </c>
    </row>
    <row r="56" spans="2:2" x14ac:dyDescent="0.25">
      <c r="B56" s="349" t="s">
        <v>596</v>
      </c>
    </row>
    <row r="57" spans="2:2" x14ac:dyDescent="0.25">
      <c r="B57" s="349" t="s">
        <v>597</v>
      </c>
    </row>
    <row r="58" spans="2:2" x14ac:dyDescent="0.25">
      <c r="B58" s="349" t="s">
        <v>598</v>
      </c>
    </row>
    <row r="59" spans="2:2" x14ac:dyDescent="0.25">
      <c r="B59" s="349" t="s">
        <v>599</v>
      </c>
    </row>
    <row r="60" spans="2:2" x14ac:dyDescent="0.25">
      <c r="B60" s="349" t="s">
        <v>600</v>
      </c>
    </row>
    <row r="61" spans="2:2" x14ac:dyDescent="0.25">
      <c r="B61" s="349" t="s">
        <v>601</v>
      </c>
    </row>
    <row r="62" spans="2:2" x14ac:dyDescent="0.25">
      <c r="B62" s="349" t="s">
        <v>569</v>
      </c>
    </row>
    <row r="63" spans="2:2" x14ac:dyDescent="0.25">
      <c r="B63" s="349" t="s">
        <v>570</v>
      </c>
    </row>
    <row r="64" spans="2:2" x14ac:dyDescent="0.25">
      <c r="B64" s="349" t="s">
        <v>602</v>
      </c>
    </row>
  </sheetData>
  <mergeCells count="3">
    <mergeCell ref="C2:M2"/>
    <mergeCell ref="H3:I3"/>
    <mergeCell ref="J3:K3"/>
  </mergeCells>
  <hyperlinks>
    <hyperlink ref="B48" r:id="rId1" display="https://www.doi.org/10.1002/bbb.1710"/>
    <hyperlink ref="B49" r:id="rId2" display="http://acee.princeton.edu/wp-content/uploads/2016/10/Kreutz-et-al-PCC-2008-10-7-08.pdf"/>
    <hyperlink ref="B50" r:id="rId3" display="https://www.doi.org/10.1021/ef302003f"/>
    <hyperlink ref="B51" r:id="rId4" display="https://doi.org/10.1039/C6EE00935B"/>
    <hyperlink ref="B52" r:id="rId5" display="https://doi.org/10.1016/j.jechem.2015.11.005"/>
    <hyperlink ref="B53" r:id="rId6" display="http://www.velocys.com/our-biorefineries/"/>
    <hyperlink ref="B54" r:id="rId7" display="https://doi.org/10.13031/2013.30383"/>
    <hyperlink ref="B55" r:id="rId8" display="https://ens.dk/sites/ens.dk/files/Statistik/energy_statistics_2015.pdf"/>
    <hyperlink ref="B56" r:id="rId9" display="https://www.doi.org/10.3389/fsufs.2017.00002"/>
    <hyperlink ref="B57" r:id="rId10" display="http://www.velocys.com/establishment-of-a-strategic-alliance-with-tri/"/>
    <hyperlink ref="B58" r:id="rId11" display="https://biorrefineria.blogspot.ca/2017/06/velocys-plans-for-construction-of-commercial-BTL-plant-move-forward.html"/>
    <hyperlink ref="B59" r:id="rId12" display="http://web.anl.gov/PCS/acsfuel/preprint archive/Files/39_4_WASHINGTON DC_08-94_1146.pdf"/>
    <hyperlink ref="B60" r:id="rId13" display="http://www.adktroutguide.com/files/1999_Phd_Thesis_-_Kinetics_Selectivity_and_Scaleup_of_FT_Synthesis.pdf"/>
    <hyperlink ref="B61" r:id="rId14" display="https://www.ien.com/operations/news/20980331/mississippi-lands-biofuel-refinery"/>
    <hyperlink ref="B62" r:id="rId15" display="http://www.irena.org/DocumentDownloads/Publications/IRENA_Innovation_Outlook_Advanced_Liquid_Biofuels_2016.pdf"/>
    <hyperlink ref="B63" r:id="rId16" display="http://platformduurzamebiobrandstoffen.nl/wp-content/uploads/2017/07/2017_SGAB_Cost-of-Biofuels.pdf"/>
    <hyperlink ref="B64" r:id="rId17" display="https://www.doi.org/10.1002/bbb.1613"/>
    <hyperlink ref="H1" location="Index" display="Back to Index"/>
  </hyperlinks>
  <pageMargins left="0.7" right="0.7" top="0.75" bottom="0.75" header="0.3" footer="0.3"/>
  <pageSetup paperSize="9" scale="36" orientation="portrait" r:id="rId1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64"/>
  <sheetViews>
    <sheetView workbookViewId="0">
      <selection activeCell="C2" sqref="C2:L2"/>
    </sheetView>
  </sheetViews>
  <sheetFormatPr defaultRowHeight="15" x14ac:dyDescent="0.25"/>
  <cols>
    <col min="1" max="1" width="9.140625" customWidth="1"/>
    <col min="2" max="2" width="33.7109375" customWidth="1"/>
    <col min="3" max="6" width="5.7109375" customWidth="1"/>
    <col min="7" max="7" width="6.140625" bestFit="1" customWidth="1"/>
    <col min="8" max="8" width="6.5703125" bestFit="1" customWidth="1"/>
    <col min="9" max="9" width="6.140625" bestFit="1" customWidth="1"/>
    <col min="10" max="10" width="5.7109375" bestFit="1" customWidth="1"/>
    <col min="11" max="11" width="4.5703125" bestFit="1" customWidth="1"/>
    <col min="12" max="12" width="7.42578125" bestFit="1" customWidth="1"/>
  </cols>
  <sheetData>
    <row r="1" spans="1:12" x14ac:dyDescent="0.25">
      <c r="A1" s="215"/>
      <c r="B1" s="215"/>
      <c r="C1" s="215"/>
      <c r="D1" s="215"/>
      <c r="E1" s="215"/>
      <c r="F1" s="215"/>
      <c r="G1" s="215"/>
      <c r="H1" s="551" t="s">
        <v>709</v>
      </c>
      <c r="I1" s="215"/>
      <c r="J1" s="215"/>
      <c r="K1" s="215"/>
      <c r="L1" s="215"/>
    </row>
    <row r="2" spans="1:12" x14ac:dyDescent="0.25">
      <c r="A2" s="215"/>
      <c r="B2" s="251" t="s">
        <v>20</v>
      </c>
      <c r="C2" s="615" t="s">
        <v>371</v>
      </c>
      <c r="D2" s="616"/>
      <c r="E2" s="616"/>
      <c r="F2" s="616"/>
      <c r="G2" s="616"/>
      <c r="H2" s="616"/>
      <c r="I2" s="616"/>
      <c r="J2" s="616"/>
      <c r="K2" s="616"/>
      <c r="L2" s="617"/>
    </row>
    <row r="3" spans="1:12" ht="20.25" customHeight="1" x14ac:dyDescent="0.25">
      <c r="A3" s="215"/>
      <c r="B3" s="252"/>
      <c r="C3" s="253">
        <v>2015</v>
      </c>
      <c r="D3" s="254">
        <v>2020</v>
      </c>
      <c r="E3" s="253">
        <v>2030</v>
      </c>
      <c r="F3" s="255">
        <v>2050</v>
      </c>
      <c r="G3" s="618" t="s">
        <v>26</v>
      </c>
      <c r="H3" s="619"/>
      <c r="I3" s="615" t="s">
        <v>25</v>
      </c>
      <c r="J3" s="617"/>
      <c r="K3" s="253" t="s">
        <v>19</v>
      </c>
      <c r="L3" s="256" t="s">
        <v>18</v>
      </c>
    </row>
    <row r="4" spans="1:12" x14ac:dyDescent="0.25">
      <c r="A4" s="215"/>
      <c r="B4" s="252"/>
      <c r="C4" s="257"/>
      <c r="D4" s="258"/>
      <c r="E4" s="258"/>
      <c r="F4" s="258"/>
      <c r="G4" s="254" t="s">
        <v>17</v>
      </c>
      <c r="H4" s="254" t="s">
        <v>16</v>
      </c>
      <c r="I4" s="254" t="s">
        <v>17</v>
      </c>
      <c r="J4" s="254" t="s">
        <v>16</v>
      </c>
      <c r="K4" s="258"/>
      <c r="L4" s="259"/>
    </row>
    <row r="5" spans="1:12" x14ac:dyDescent="0.25">
      <c r="A5" s="215"/>
      <c r="B5" s="260" t="s">
        <v>15</v>
      </c>
      <c r="C5" s="258"/>
      <c r="D5" s="258"/>
      <c r="E5" s="258"/>
      <c r="F5" s="258"/>
      <c r="G5" s="258"/>
      <c r="H5" s="258"/>
      <c r="I5" s="258"/>
      <c r="J5" s="258"/>
      <c r="K5" s="258"/>
      <c r="L5" s="259"/>
    </row>
    <row r="6" spans="1:12" x14ac:dyDescent="0.25">
      <c r="A6" s="215"/>
      <c r="B6" s="261" t="s">
        <v>248</v>
      </c>
      <c r="C6" s="262">
        <v>0.25</v>
      </c>
      <c r="D6" s="262">
        <v>1</v>
      </c>
      <c r="E6" s="263">
        <v>15</v>
      </c>
      <c r="F6" s="263">
        <v>50</v>
      </c>
      <c r="G6" s="263"/>
      <c r="H6" s="263"/>
      <c r="I6" s="263"/>
      <c r="J6" s="263"/>
      <c r="K6" s="263" t="s">
        <v>5</v>
      </c>
      <c r="L6" s="263"/>
    </row>
    <row r="7" spans="1:12" x14ac:dyDescent="0.25">
      <c r="A7" s="215"/>
      <c r="B7" s="264"/>
      <c r="C7" s="264"/>
      <c r="D7" s="264"/>
      <c r="E7" s="264"/>
      <c r="F7" s="264"/>
      <c r="G7" s="264"/>
      <c r="H7" s="264"/>
      <c r="I7" s="264"/>
      <c r="J7" s="264"/>
      <c r="K7" s="264"/>
      <c r="L7" s="264"/>
    </row>
    <row r="8" spans="1:12" x14ac:dyDescent="0.25">
      <c r="A8" s="215"/>
      <c r="B8" s="620" t="s">
        <v>249</v>
      </c>
      <c r="C8" s="621"/>
      <c r="D8" s="621"/>
      <c r="E8" s="621"/>
      <c r="F8" s="621"/>
      <c r="G8" s="621"/>
      <c r="H8" s="621"/>
      <c r="I8" s="621"/>
      <c r="J8" s="621"/>
      <c r="K8" s="621"/>
      <c r="L8" s="622"/>
    </row>
    <row r="9" spans="1:12" x14ac:dyDescent="0.25">
      <c r="A9" s="215"/>
      <c r="B9" s="265" t="s">
        <v>250</v>
      </c>
      <c r="C9" s="263">
        <v>85</v>
      </c>
      <c r="D9" s="263">
        <v>85</v>
      </c>
      <c r="E9" s="263">
        <v>85</v>
      </c>
      <c r="F9" s="263">
        <v>85</v>
      </c>
      <c r="G9" s="263"/>
      <c r="H9" s="263"/>
      <c r="I9" s="263"/>
      <c r="J9" s="263"/>
      <c r="K9" s="262" t="s">
        <v>5</v>
      </c>
      <c r="L9" s="262" t="s">
        <v>251</v>
      </c>
    </row>
    <row r="10" spans="1:12" x14ac:dyDescent="0.25">
      <c r="A10" s="215"/>
      <c r="B10" s="265" t="s">
        <v>252</v>
      </c>
      <c r="C10" s="263">
        <v>15</v>
      </c>
      <c r="D10" s="263">
        <v>15</v>
      </c>
      <c r="E10" s="263">
        <v>15</v>
      </c>
      <c r="F10" s="263">
        <v>15</v>
      </c>
      <c r="G10" s="263"/>
      <c r="H10" s="263"/>
      <c r="I10" s="263"/>
      <c r="J10" s="263"/>
      <c r="K10" s="262" t="s">
        <v>5</v>
      </c>
      <c r="L10" s="262" t="s">
        <v>251</v>
      </c>
    </row>
    <row r="11" spans="1:12" x14ac:dyDescent="0.25">
      <c r="A11" s="215"/>
      <c r="B11" s="620" t="s">
        <v>253</v>
      </c>
      <c r="C11" s="621"/>
      <c r="D11" s="621"/>
      <c r="E11" s="621"/>
      <c r="F11" s="621"/>
      <c r="G11" s="621"/>
      <c r="H11" s="621"/>
      <c r="I11" s="621"/>
      <c r="J11" s="621"/>
      <c r="K11" s="621"/>
      <c r="L11" s="622"/>
    </row>
    <row r="12" spans="1:12" x14ac:dyDescent="0.25">
      <c r="A12" s="215"/>
      <c r="B12" s="265" t="s">
        <v>254</v>
      </c>
      <c r="C12" s="263">
        <v>68</v>
      </c>
      <c r="D12" s="263">
        <v>76</v>
      </c>
      <c r="E12" s="263">
        <v>79</v>
      </c>
      <c r="F12" s="263">
        <v>79</v>
      </c>
      <c r="G12" s="266">
        <f>D12-D12*0.05</f>
        <v>72.2</v>
      </c>
      <c r="H12" s="266">
        <f>D12+D12*0.05</f>
        <v>79.8</v>
      </c>
      <c r="I12" s="266">
        <f>F12-F12*0.05</f>
        <v>75.05</v>
      </c>
      <c r="J12" s="266">
        <f>F12+F12*0.05</f>
        <v>82.95</v>
      </c>
      <c r="K12" s="263" t="s">
        <v>4</v>
      </c>
      <c r="L12" s="263" t="s">
        <v>255</v>
      </c>
    </row>
    <row r="13" spans="1:12" x14ac:dyDescent="0.25">
      <c r="A13" s="215"/>
      <c r="B13" s="267" t="s">
        <v>256</v>
      </c>
      <c r="C13" s="268">
        <v>3</v>
      </c>
      <c r="D13" s="264">
        <v>3</v>
      </c>
      <c r="E13" s="264">
        <v>1.5</v>
      </c>
      <c r="F13" s="264">
        <v>1.5</v>
      </c>
      <c r="G13" s="264"/>
      <c r="H13" s="264"/>
      <c r="I13" s="264"/>
      <c r="J13" s="264"/>
      <c r="K13" s="264" t="s">
        <v>3</v>
      </c>
      <c r="L13" s="264"/>
    </row>
    <row r="14" spans="1:12" x14ac:dyDescent="0.25">
      <c r="A14" s="215"/>
      <c r="B14" s="267"/>
      <c r="C14" s="264"/>
      <c r="D14" s="264"/>
      <c r="E14" s="264"/>
      <c r="F14" s="264"/>
      <c r="G14" s="263"/>
      <c r="H14" s="263"/>
      <c r="I14" s="263"/>
      <c r="J14" s="263"/>
      <c r="K14" s="264"/>
      <c r="L14" s="264"/>
    </row>
    <row r="15" spans="1:12" x14ac:dyDescent="0.25">
      <c r="A15" s="215"/>
      <c r="B15" s="269" t="s">
        <v>100</v>
      </c>
      <c r="C15" s="264"/>
      <c r="D15" s="264"/>
      <c r="E15" s="264"/>
      <c r="F15" s="264"/>
      <c r="G15" s="264"/>
      <c r="H15" s="264"/>
      <c r="I15" s="264"/>
      <c r="J15" s="264"/>
      <c r="K15" s="264"/>
      <c r="L15" s="264"/>
    </row>
    <row r="16" spans="1:12" x14ac:dyDescent="0.25">
      <c r="A16" s="215"/>
      <c r="B16" s="269" t="s">
        <v>24</v>
      </c>
      <c r="C16" s="264"/>
      <c r="D16" s="264"/>
      <c r="E16" s="264"/>
      <c r="F16" s="264"/>
      <c r="G16" s="263"/>
      <c r="H16" s="263"/>
      <c r="I16" s="263"/>
      <c r="J16" s="263"/>
      <c r="K16" s="264"/>
      <c r="L16" s="264"/>
    </row>
    <row r="17" spans="1:12" x14ac:dyDescent="0.25">
      <c r="A17" s="215"/>
      <c r="B17" s="267" t="s">
        <v>14</v>
      </c>
      <c r="C17" s="264" t="s">
        <v>257</v>
      </c>
      <c r="D17" s="264">
        <v>20</v>
      </c>
      <c r="E17" s="264">
        <v>20</v>
      </c>
      <c r="F17" s="264">
        <v>30</v>
      </c>
      <c r="G17" s="264"/>
      <c r="H17" s="264"/>
      <c r="I17" s="264"/>
      <c r="J17" s="264"/>
      <c r="K17" s="264"/>
      <c r="L17" s="264"/>
    </row>
    <row r="18" spans="1:12" x14ac:dyDescent="0.25">
      <c r="A18" s="215"/>
      <c r="B18" s="267" t="s">
        <v>12</v>
      </c>
      <c r="C18" s="264">
        <v>0.5</v>
      </c>
      <c r="D18" s="264">
        <v>0.5</v>
      </c>
      <c r="E18" s="264">
        <v>0.5</v>
      </c>
      <c r="F18" s="264">
        <v>0.5</v>
      </c>
      <c r="G18" s="263"/>
      <c r="H18" s="263"/>
      <c r="I18" s="263"/>
      <c r="J18" s="263"/>
      <c r="K18" s="264" t="s">
        <v>0</v>
      </c>
      <c r="L18" s="264"/>
    </row>
    <row r="19" spans="1:12" x14ac:dyDescent="0.25">
      <c r="A19" s="215"/>
      <c r="B19" s="267"/>
      <c r="C19" s="264"/>
      <c r="D19" s="264"/>
      <c r="E19" s="264"/>
      <c r="F19" s="264"/>
      <c r="G19" s="264"/>
      <c r="H19" s="264"/>
      <c r="I19" s="264"/>
      <c r="J19" s="264"/>
      <c r="K19" s="264"/>
      <c r="L19" s="264"/>
    </row>
    <row r="20" spans="1:12" x14ac:dyDescent="0.25">
      <c r="A20" s="215"/>
      <c r="B20" s="623" t="s">
        <v>9</v>
      </c>
      <c r="C20" s="624"/>
      <c r="D20" s="624"/>
      <c r="E20" s="624"/>
      <c r="F20" s="624"/>
      <c r="G20" s="624"/>
      <c r="H20" s="624"/>
      <c r="I20" s="624"/>
      <c r="J20" s="624"/>
      <c r="K20" s="624"/>
      <c r="L20" s="625"/>
    </row>
    <row r="21" spans="1:12" x14ac:dyDescent="0.25">
      <c r="A21" s="215"/>
      <c r="B21" s="270" t="s">
        <v>258</v>
      </c>
      <c r="C21" s="270"/>
      <c r="D21" s="270"/>
      <c r="E21" s="270"/>
      <c r="F21" s="270"/>
      <c r="G21" s="270"/>
      <c r="H21" s="270"/>
      <c r="I21" s="270"/>
      <c r="J21" s="270"/>
      <c r="K21" s="270"/>
      <c r="L21" s="270"/>
    </row>
    <row r="22" spans="1:12" ht="22.5" x14ac:dyDescent="0.25">
      <c r="A22" s="215"/>
      <c r="B22" s="261" t="s">
        <v>259</v>
      </c>
      <c r="C22" s="271" t="s">
        <v>257</v>
      </c>
      <c r="D22" s="272">
        <v>2.2000000000000002</v>
      </c>
      <c r="E22" s="272">
        <v>0.6</v>
      </c>
      <c r="F22" s="273">
        <v>0.4</v>
      </c>
      <c r="G22" s="274">
        <v>1.35</v>
      </c>
      <c r="H22" s="275">
        <v>3</v>
      </c>
      <c r="I22" s="263">
        <v>0.25</v>
      </c>
      <c r="J22" s="263">
        <v>1.5</v>
      </c>
      <c r="K22" s="263" t="s">
        <v>41</v>
      </c>
      <c r="L22" s="263" t="s">
        <v>260</v>
      </c>
    </row>
    <row r="23" spans="1:12" x14ac:dyDescent="0.25">
      <c r="A23" s="215"/>
      <c r="B23" s="267" t="s">
        <v>261</v>
      </c>
      <c r="C23" s="271" t="s">
        <v>257</v>
      </c>
      <c r="D23" s="276">
        <v>45</v>
      </c>
      <c r="E23" s="276">
        <v>37</v>
      </c>
      <c r="F23" s="277">
        <v>35</v>
      </c>
      <c r="G23" s="264"/>
      <c r="H23" s="264"/>
      <c r="I23" s="264"/>
      <c r="J23" s="264"/>
      <c r="K23" s="264" t="s">
        <v>262</v>
      </c>
      <c r="L23" s="264"/>
    </row>
    <row r="24" spans="1:12" x14ac:dyDescent="0.25">
      <c r="A24" s="215"/>
      <c r="B24" s="278" t="s">
        <v>263</v>
      </c>
      <c r="C24" s="271" t="s">
        <v>257</v>
      </c>
      <c r="D24" s="276">
        <v>55</v>
      </c>
      <c r="E24" s="276">
        <v>63</v>
      </c>
      <c r="F24" s="276">
        <v>65</v>
      </c>
      <c r="G24" s="263"/>
      <c r="H24" s="263"/>
      <c r="I24" s="263"/>
      <c r="J24" s="263"/>
      <c r="K24" s="264" t="s">
        <v>99</v>
      </c>
      <c r="L24" s="264"/>
    </row>
    <row r="25" spans="1:12" x14ac:dyDescent="0.25">
      <c r="A25" s="215"/>
      <c r="B25" s="261" t="s">
        <v>264</v>
      </c>
      <c r="C25" s="271" t="s">
        <v>257</v>
      </c>
      <c r="D25" s="279">
        <f>0.03*(D22*10^6)</f>
        <v>66000</v>
      </c>
      <c r="E25" s="279">
        <f t="shared" ref="E25:F25" si="0">0.03*(E22*10^6)</f>
        <v>18000</v>
      </c>
      <c r="F25" s="279">
        <f t="shared" si="0"/>
        <v>12000</v>
      </c>
      <c r="G25" s="279">
        <f>0.02*(D22*10^6)</f>
        <v>44000</v>
      </c>
      <c r="H25" s="279">
        <f>0.05*(D22*10^6)</f>
        <v>110000</v>
      </c>
      <c r="I25" s="279">
        <f>0.02*(F22*10^6)</f>
        <v>8000</v>
      </c>
      <c r="J25" s="279">
        <f>0.05*(F22*10^6)</f>
        <v>20000</v>
      </c>
      <c r="K25" s="263" t="s">
        <v>265</v>
      </c>
      <c r="L25" s="264" t="s">
        <v>266</v>
      </c>
    </row>
    <row r="26" spans="1:12" x14ac:dyDescent="0.25">
      <c r="A26" s="215"/>
      <c r="B26" s="280" t="s">
        <v>267</v>
      </c>
      <c r="C26" s="276">
        <v>0</v>
      </c>
      <c r="D26" s="276">
        <v>0</v>
      </c>
      <c r="E26" s="276">
        <v>0</v>
      </c>
      <c r="F26" s="277">
        <v>0</v>
      </c>
      <c r="G26" s="279"/>
      <c r="H26" s="279"/>
      <c r="I26" s="279"/>
      <c r="J26" s="279"/>
      <c r="K26" s="264"/>
      <c r="L26" s="264"/>
    </row>
    <row r="27" spans="1:12" x14ac:dyDescent="0.25">
      <c r="A27" s="215"/>
      <c r="B27" s="267"/>
      <c r="C27" s="264"/>
      <c r="D27" s="281"/>
      <c r="E27" s="281"/>
      <c r="F27" s="281"/>
      <c r="G27" s="264"/>
      <c r="H27" s="264"/>
      <c r="I27" s="264"/>
      <c r="J27" s="267"/>
      <c r="K27" s="264"/>
      <c r="L27" s="264"/>
    </row>
    <row r="28" spans="1:12" x14ac:dyDescent="0.25">
      <c r="A28" s="215"/>
      <c r="B28" s="623" t="s">
        <v>268</v>
      </c>
      <c r="C28" s="624"/>
      <c r="D28" s="624"/>
      <c r="E28" s="624"/>
      <c r="F28" s="624"/>
      <c r="G28" s="624"/>
      <c r="H28" s="624"/>
      <c r="I28" s="624"/>
      <c r="J28" s="624"/>
      <c r="K28" s="624"/>
      <c r="L28" s="625"/>
    </row>
    <row r="29" spans="1:12" x14ac:dyDescent="0.25">
      <c r="A29" s="215"/>
      <c r="B29" s="267" t="s">
        <v>269</v>
      </c>
      <c r="C29" s="264">
        <v>775</v>
      </c>
      <c r="D29" s="264">
        <v>750</v>
      </c>
      <c r="E29" s="264">
        <v>675</v>
      </c>
      <c r="F29" s="282">
        <v>650</v>
      </c>
      <c r="G29" s="263"/>
      <c r="H29" s="263"/>
      <c r="I29" s="263"/>
      <c r="J29" s="263"/>
      <c r="K29" s="264" t="s">
        <v>270</v>
      </c>
      <c r="L29" s="264" t="s">
        <v>271</v>
      </c>
    </row>
    <row r="30" spans="1:12" x14ac:dyDescent="0.25">
      <c r="A30" s="215"/>
      <c r="B30" s="267" t="s">
        <v>272</v>
      </c>
      <c r="C30" s="264"/>
      <c r="D30" s="264">
        <v>5</v>
      </c>
      <c r="E30" s="264">
        <v>7</v>
      </c>
      <c r="F30" s="282">
        <v>10</v>
      </c>
      <c r="G30" s="263"/>
      <c r="H30" s="263"/>
      <c r="I30" s="263"/>
      <c r="J30" s="263"/>
      <c r="K30" s="264"/>
      <c r="L30" s="264"/>
    </row>
    <row r="31" spans="1:12" x14ac:dyDescent="0.25">
      <c r="A31" s="215"/>
      <c r="B31" s="267" t="s">
        <v>273</v>
      </c>
      <c r="C31" s="264">
        <v>1</v>
      </c>
      <c r="D31" s="264">
        <v>1</v>
      </c>
      <c r="E31" s="264">
        <v>1</v>
      </c>
      <c r="F31" s="282">
        <v>1</v>
      </c>
      <c r="G31" s="264"/>
      <c r="H31" s="264"/>
      <c r="I31" s="264"/>
      <c r="J31" s="264"/>
      <c r="K31" s="264"/>
      <c r="L31" s="264"/>
    </row>
    <row r="32" spans="1:12" x14ac:dyDescent="0.25">
      <c r="A32" s="215"/>
      <c r="B32" s="267" t="s">
        <v>274</v>
      </c>
      <c r="C32" s="264">
        <v>1</v>
      </c>
      <c r="D32" s="264">
        <v>1</v>
      </c>
      <c r="E32" s="264">
        <v>1</v>
      </c>
      <c r="F32" s="282">
        <v>1</v>
      </c>
      <c r="G32" s="263"/>
      <c r="H32" s="263"/>
      <c r="I32" s="263"/>
      <c r="J32" s="263"/>
      <c r="K32" s="264"/>
      <c r="L32" s="264"/>
    </row>
    <row r="33" spans="1:12" x14ac:dyDescent="0.25">
      <c r="A33" s="100"/>
      <c r="B33" s="278" t="s">
        <v>275</v>
      </c>
      <c r="C33" s="264">
        <v>60</v>
      </c>
      <c r="D33" s="264">
        <v>60</v>
      </c>
      <c r="E33" s="264"/>
      <c r="F33" s="264"/>
      <c r="G33" s="264"/>
      <c r="H33" s="264"/>
      <c r="I33" s="264"/>
      <c r="J33" s="264"/>
      <c r="K33" s="264"/>
      <c r="L33" s="264"/>
    </row>
    <row r="34" spans="1:12" x14ac:dyDescent="0.25">
      <c r="A34" s="215"/>
      <c r="B34" s="100"/>
      <c r="C34" s="244"/>
      <c r="D34" s="244"/>
      <c r="E34" s="244"/>
      <c r="F34" s="244"/>
      <c r="G34" s="244"/>
      <c r="H34" s="244"/>
      <c r="I34" s="244"/>
      <c r="J34" s="244"/>
      <c r="K34" s="12"/>
      <c r="L34" s="12"/>
    </row>
    <row r="35" spans="1:12" x14ac:dyDescent="0.25">
      <c r="A35" s="215"/>
      <c r="B35" s="283" t="s">
        <v>6</v>
      </c>
      <c r="C35" s="244"/>
      <c r="D35" s="244"/>
      <c r="E35" s="244"/>
      <c r="F35" s="244"/>
      <c r="G35" s="244"/>
      <c r="H35" s="244"/>
      <c r="I35" s="244"/>
      <c r="J35" s="244"/>
      <c r="K35" s="12"/>
      <c r="L35" s="12"/>
    </row>
    <row r="36" spans="1:12" x14ac:dyDescent="0.25">
      <c r="A36" s="4" t="s">
        <v>5</v>
      </c>
      <c r="B36" s="599" t="s">
        <v>276</v>
      </c>
      <c r="C36" s="599"/>
      <c r="D36" s="599"/>
      <c r="E36" s="599"/>
      <c r="F36" s="599"/>
      <c r="G36" s="599"/>
      <c r="H36" s="599"/>
      <c r="I36" s="599"/>
      <c r="J36" s="599"/>
      <c r="K36" s="599"/>
      <c r="L36" s="599"/>
    </row>
    <row r="37" spans="1:12" x14ac:dyDescent="0.25">
      <c r="A37" s="4" t="s">
        <v>4</v>
      </c>
      <c r="B37" s="599" t="s">
        <v>277</v>
      </c>
      <c r="C37" s="599"/>
      <c r="D37" s="599"/>
      <c r="E37" s="599"/>
      <c r="F37" s="599"/>
      <c r="G37" s="599"/>
      <c r="H37" s="599"/>
      <c r="I37" s="599"/>
      <c r="J37" s="599"/>
      <c r="K37" s="599"/>
      <c r="L37" s="599"/>
    </row>
    <row r="38" spans="1:12" x14ac:dyDescent="0.25">
      <c r="A38" s="4" t="s">
        <v>3</v>
      </c>
      <c r="B38" s="599" t="s">
        <v>278</v>
      </c>
      <c r="C38" s="599"/>
      <c r="D38" s="599"/>
      <c r="E38" s="599"/>
      <c r="F38" s="599"/>
      <c r="G38" s="599"/>
      <c r="H38" s="599"/>
      <c r="I38" s="599"/>
      <c r="J38" s="599"/>
      <c r="K38" s="599"/>
      <c r="L38" s="599"/>
    </row>
    <row r="39" spans="1:12" x14ac:dyDescent="0.25">
      <c r="A39" s="4" t="s">
        <v>2</v>
      </c>
      <c r="B39" s="599" t="s">
        <v>279</v>
      </c>
      <c r="C39" s="599"/>
      <c r="D39" s="599"/>
      <c r="E39" s="599"/>
      <c r="F39" s="599"/>
      <c r="G39" s="599"/>
      <c r="H39" s="599"/>
      <c r="I39" s="599"/>
      <c r="J39" s="599"/>
      <c r="K39" s="599"/>
      <c r="L39" s="599"/>
    </row>
    <row r="40" spans="1:12" x14ac:dyDescent="0.25">
      <c r="A40" s="4" t="s">
        <v>1</v>
      </c>
      <c r="B40" s="599" t="s">
        <v>280</v>
      </c>
      <c r="C40" s="599"/>
      <c r="D40" s="599"/>
      <c r="E40" s="599"/>
      <c r="F40" s="599"/>
      <c r="G40" s="599"/>
      <c r="H40" s="599"/>
      <c r="I40" s="599"/>
      <c r="J40" s="599"/>
      <c r="K40" s="599"/>
      <c r="L40" s="599"/>
    </row>
    <row r="41" spans="1:12" x14ac:dyDescent="0.25">
      <c r="A41" s="4" t="s">
        <v>0</v>
      </c>
      <c r="B41" s="599" t="s">
        <v>281</v>
      </c>
      <c r="C41" s="599"/>
      <c r="D41" s="599"/>
      <c r="E41" s="599"/>
      <c r="F41" s="599"/>
      <c r="G41" s="599"/>
      <c r="H41" s="599"/>
      <c r="I41" s="599"/>
      <c r="J41" s="599"/>
      <c r="K41" s="599"/>
      <c r="L41" s="599"/>
    </row>
    <row r="42" spans="1:12" x14ac:dyDescent="0.25">
      <c r="A42" s="4" t="s">
        <v>41</v>
      </c>
      <c r="B42" s="627" t="s">
        <v>282</v>
      </c>
      <c r="C42" s="627"/>
      <c r="D42" s="627"/>
      <c r="E42" s="627"/>
      <c r="F42" s="627"/>
      <c r="G42" s="627"/>
      <c r="H42" s="627"/>
      <c r="I42" s="627"/>
      <c r="J42" s="627"/>
      <c r="K42" s="627"/>
      <c r="L42" s="627"/>
    </row>
    <row r="43" spans="1:12" x14ac:dyDescent="0.25">
      <c r="A43" s="4" t="s">
        <v>42</v>
      </c>
      <c r="B43" s="627" t="s">
        <v>283</v>
      </c>
      <c r="C43" s="627"/>
      <c r="D43" s="627"/>
      <c r="E43" s="627"/>
      <c r="F43" s="627"/>
      <c r="G43" s="627"/>
      <c r="H43" s="627"/>
      <c r="I43" s="627"/>
      <c r="J43" s="627"/>
      <c r="K43" s="627"/>
      <c r="L43" s="627"/>
    </row>
    <row r="44" spans="1:12" x14ac:dyDescent="0.25">
      <c r="A44" s="4" t="s">
        <v>135</v>
      </c>
      <c r="B44" s="627" t="s">
        <v>284</v>
      </c>
      <c r="C44" s="627"/>
      <c r="D44" s="627"/>
      <c r="E44" s="627"/>
      <c r="F44" s="627"/>
      <c r="G44" s="627"/>
      <c r="H44" s="627"/>
      <c r="I44" s="627"/>
      <c r="J44" s="627"/>
      <c r="K44" s="627"/>
      <c r="L44" s="627"/>
    </row>
    <row r="45" spans="1:12" x14ac:dyDescent="0.25">
      <c r="A45" s="4" t="s">
        <v>99</v>
      </c>
      <c r="B45" s="627" t="s">
        <v>285</v>
      </c>
      <c r="C45" s="627"/>
      <c r="D45" s="627"/>
      <c r="E45" s="627"/>
      <c r="F45" s="627"/>
      <c r="G45" s="627"/>
      <c r="H45" s="627"/>
      <c r="I45" s="627"/>
      <c r="J45" s="627"/>
      <c r="K45" s="627"/>
      <c r="L45" s="627"/>
    </row>
    <row r="46" spans="1:12" x14ac:dyDescent="0.25">
      <c r="A46" s="4" t="s">
        <v>111</v>
      </c>
      <c r="B46" s="627" t="s">
        <v>286</v>
      </c>
      <c r="C46" s="627"/>
      <c r="D46" s="627"/>
      <c r="E46" s="627"/>
      <c r="F46" s="627"/>
      <c r="G46" s="627"/>
      <c r="H46" s="627"/>
      <c r="I46" s="627"/>
      <c r="J46" s="627"/>
      <c r="K46" s="627"/>
      <c r="L46" s="627"/>
    </row>
    <row r="47" spans="1:12" x14ac:dyDescent="0.25">
      <c r="A47" s="4" t="s">
        <v>177</v>
      </c>
      <c r="B47" s="626" t="s">
        <v>287</v>
      </c>
      <c r="C47" s="626"/>
      <c r="D47" s="626"/>
      <c r="E47" s="626"/>
      <c r="F47" s="626"/>
      <c r="G47" s="626"/>
      <c r="H47" s="626"/>
      <c r="I47" s="626"/>
      <c r="J47" s="626"/>
      <c r="K47" s="626"/>
      <c r="L47" s="626"/>
    </row>
    <row r="48" spans="1:12" x14ac:dyDescent="0.25">
      <c r="A48" s="215"/>
      <c r="B48" s="215"/>
      <c r="C48" s="215"/>
      <c r="D48" s="215"/>
      <c r="E48" s="215"/>
      <c r="F48" s="215"/>
      <c r="G48" s="215"/>
      <c r="H48" s="215"/>
      <c r="I48" s="215"/>
      <c r="J48" s="215"/>
      <c r="K48" s="215"/>
      <c r="L48" s="215"/>
    </row>
    <row r="49" spans="1:12" x14ac:dyDescent="0.25">
      <c r="B49" s="283" t="s">
        <v>28</v>
      </c>
      <c r="C49" s="215"/>
      <c r="D49" s="215"/>
      <c r="E49" s="215"/>
      <c r="F49" s="215"/>
      <c r="G49" s="215"/>
      <c r="H49" s="215"/>
      <c r="I49" s="215"/>
      <c r="J49" s="215"/>
      <c r="K49" s="215"/>
      <c r="L49" s="215"/>
    </row>
    <row r="50" spans="1:12" x14ac:dyDescent="0.25">
      <c r="A50" s="284" t="s">
        <v>288</v>
      </c>
      <c r="B50" s="285" t="s">
        <v>289</v>
      </c>
      <c r="C50" s="215"/>
      <c r="D50" s="215"/>
      <c r="E50" s="215"/>
      <c r="F50" s="215"/>
      <c r="G50" s="215"/>
      <c r="H50" s="215"/>
      <c r="I50" s="215"/>
      <c r="J50" s="215"/>
      <c r="K50" s="215"/>
      <c r="L50" s="215"/>
    </row>
    <row r="51" spans="1:12" x14ac:dyDescent="0.25">
      <c r="A51" s="284" t="s">
        <v>290</v>
      </c>
      <c r="B51" s="286" t="s">
        <v>291</v>
      </c>
      <c r="C51" s="215"/>
      <c r="D51" s="215"/>
      <c r="E51" s="215"/>
      <c r="F51" s="215"/>
      <c r="G51" s="215"/>
      <c r="H51" s="215"/>
      <c r="I51" s="215"/>
      <c r="J51" s="215"/>
      <c r="K51" s="215"/>
      <c r="L51" s="215"/>
    </row>
    <row r="52" spans="1:12" x14ac:dyDescent="0.25">
      <c r="A52" s="284" t="s">
        <v>292</v>
      </c>
      <c r="B52" s="286" t="s">
        <v>293</v>
      </c>
      <c r="C52" s="215"/>
      <c r="D52" s="215"/>
      <c r="E52" s="215"/>
      <c r="F52" s="215"/>
      <c r="G52" s="215"/>
      <c r="H52" s="215"/>
      <c r="I52" s="215"/>
      <c r="J52" s="215"/>
      <c r="K52" s="215"/>
      <c r="L52" s="215"/>
    </row>
    <row r="53" spans="1:12" x14ac:dyDescent="0.25">
      <c r="A53" s="284" t="s">
        <v>294</v>
      </c>
      <c r="B53" s="285" t="s">
        <v>295</v>
      </c>
      <c r="C53" s="215"/>
      <c r="D53" s="215"/>
      <c r="E53" s="215"/>
      <c r="F53" s="215"/>
      <c r="G53" s="215"/>
      <c r="H53" s="215"/>
      <c r="I53" s="215"/>
      <c r="J53" s="215"/>
      <c r="K53" s="215"/>
      <c r="L53" s="215"/>
    </row>
    <row r="54" spans="1:12" x14ac:dyDescent="0.25">
      <c r="A54" s="284" t="s">
        <v>296</v>
      </c>
      <c r="B54" s="285" t="s">
        <v>297</v>
      </c>
      <c r="C54" s="215"/>
      <c r="D54" s="215"/>
      <c r="E54" s="215"/>
      <c r="F54" s="215"/>
      <c r="G54" s="215"/>
      <c r="H54" s="215"/>
      <c r="I54" s="215"/>
      <c r="J54" s="215"/>
      <c r="K54" s="215"/>
      <c r="L54" s="215"/>
    </row>
    <row r="55" spans="1:12" x14ac:dyDescent="0.25">
      <c r="A55" s="284" t="s">
        <v>298</v>
      </c>
      <c r="B55" s="285" t="s">
        <v>299</v>
      </c>
      <c r="C55" s="215"/>
      <c r="D55" s="215"/>
      <c r="E55" s="215"/>
      <c r="F55" s="215"/>
      <c r="G55" s="215"/>
      <c r="H55" s="215"/>
      <c r="I55" s="215"/>
      <c r="J55" s="215"/>
      <c r="K55" s="215"/>
      <c r="L55" s="215"/>
    </row>
    <row r="56" spans="1:12" x14ac:dyDescent="0.25">
      <c r="A56" s="284" t="s">
        <v>300</v>
      </c>
      <c r="B56" s="285" t="s">
        <v>301</v>
      </c>
      <c r="C56" s="215"/>
      <c r="D56" s="215"/>
      <c r="E56" s="215"/>
      <c r="F56" s="215"/>
      <c r="G56" s="215"/>
      <c r="H56" s="215"/>
      <c r="I56" s="215"/>
      <c r="J56" s="215"/>
      <c r="K56" s="215"/>
      <c r="L56" s="215"/>
    </row>
    <row r="57" spans="1:12" x14ac:dyDescent="0.25">
      <c r="A57" s="284" t="s">
        <v>302</v>
      </c>
      <c r="B57" s="285" t="s">
        <v>303</v>
      </c>
      <c r="C57" s="215"/>
      <c r="D57" s="215"/>
      <c r="E57" s="215"/>
      <c r="F57" s="215"/>
      <c r="G57" s="215"/>
      <c r="H57" s="215"/>
      <c r="I57" s="215"/>
      <c r="J57" s="215"/>
      <c r="K57" s="215"/>
      <c r="L57" s="215"/>
    </row>
    <row r="58" spans="1:12" x14ac:dyDescent="0.25">
      <c r="A58" s="284" t="s">
        <v>304</v>
      </c>
      <c r="B58" s="285" t="s">
        <v>305</v>
      </c>
      <c r="C58" s="215"/>
      <c r="D58" s="215"/>
      <c r="E58" s="215"/>
      <c r="F58" s="215"/>
      <c r="G58" s="215"/>
      <c r="H58" s="215"/>
      <c r="I58" s="215"/>
      <c r="J58" s="215"/>
      <c r="K58" s="215"/>
      <c r="L58" s="215"/>
    </row>
    <row r="59" spans="1:12" x14ac:dyDescent="0.25">
      <c r="A59" s="284" t="s">
        <v>306</v>
      </c>
      <c r="B59" s="285" t="s">
        <v>307</v>
      </c>
      <c r="C59" s="215"/>
      <c r="D59" s="215"/>
      <c r="E59" s="215"/>
      <c r="F59" s="215"/>
      <c r="G59" s="215"/>
      <c r="H59" s="215"/>
      <c r="I59" s="215"/>
      <c r="J59" s="215"/>
      <c r="K59" s="215"/>
      <c r="L59" s="215"/>
    </row>
    <row r="60" spans="1:12" x14ac:dyDescent="0.25">
      <c r="A60" s="284" t="s">
        <v>308</v>
      </c>
      <c r="B60" s="285" t="s">
        <v>309</v>
      </c>
      <c r="C60" s="215"/>
      <c r="D60" s="215"/>
      <c r="E60" s="215"/>
      <c r="F60" s="215"/>
      <c r="G60" s="215"/>
      <c r="H60" s="215"/>
      <c r="I60" s="215"/>
      <c r="J60" s="215"/>
      <c r="K60" s="215"/>
      <c r="L60" s="215"/>
    </row>
    <row r="61" spans="1:12" x14ac:dyDescent="0.25">
      <c r="A61" s="284" t="s">
        <v>310</v>
      </c>
      <c r="B61" s="285" t="s">
        <v>311</v>
      </c>
      <c r="C61" s="287"/>
      <c r="D61" s="215"/>
      <c r="E61" s="215"/>
      <c r="F61" s="215"/>
      <c r="G61" s="215"/>
      <c r="H61" s="215"/>
      <c r="I61" s="215"/>
      <c r="J61" s="215"/>
      <c r="K61" s="215"/>
      <c r="L61" s="215"/>
    </row>
    <row r="62" spans="1:12" x14ac:dyDescent="0.25">
      <c r="A62" s="284" t="s">
        <v>312</v>
      </c>
      <c r="B62" s="285" t="s">
        <v>313</v>
      </c>
      <c r="C62" s="215"/>
      <c r="D62" s="215"/>
      <c r="E62" s="215"/>
      <c r="F62" s="215"/>
      <c r="G62" s="215"/>
      <c r="H62" s="215"/>
      <c r="I62" s="215"/>
      <c r="J62" s="215"/>
      <c r="K62" s="215"/>
      <c r="L62" s="215"/>
    </row>
    <row r="63" spans="1:12" x14ac:dyDescent="0.25">
      <c r="A63" s="284" t="s">
        <v>47</v>
      </c>
      <c r="B63" s="285" t="s">
        <v>314</v>
      </c>
      <c r="C63" s="285"/>
      <c r="D63" s="215"/>
      <c r="E63" s="215"/>
      <c r="F63" s="215"/>
      <c r="G63" s="215"/>
      <c r="H63" s="215"/>
      <c r="I63" s="215"/>
      <c r="J63" s="215"/>
      <c r="K63" s="215"/>
      <c r="L63" s="215"/>
    </row>
    <row r="64" spans="1:12" x14ac:dyDescent="0.25">
      <c r="A64" s="215"/>
      <c r="B64" s="288" t="s">
        <v>315</v>
      </c>
      <c r="C64" s="289"/>
      <c r="D64" s="290"/>
      <c r="E64" s="290"/>
      <c r="F64" s="290"/>
      <c r="G64" s="290"/>
      <c r="H64" s="290"/>
      <c r="I64" s="215"/>
      <c r="J64" s="215"/>
      <c r="K64" s="215"/>
      <c r="L64" s="215"/>
    </row>
  </sheetData>
  <mergeCells count="19">
    <mergeCell ref="B47:L47"/>
    <mergeCell ref="B41:L41"/>
    <mergeCell ref="B42:L42"/>
    <mergeCell ref="B43:L43"/>
    <mergeCell ref="B44:L44"/>
    <mergeCell ref="B45:L45"/>
    <mergeCell ref="B46:L46"/>
    <mergeCell ref="B40:L40"/>
    <mergeCell ref="C2:L2"/>
    <mergeCell ref="G3:H3"/>
    <mergeCell ref="I3:J3"/>
    <mergeCell ref="B8:L8"/>
    <mergeCell ref="B11:L11"/>
    <mergeCell ref="B20:L20"/>
    <mergeCell ref="B28:L28"/>
    <mergeCell ref="B36:L36"/>
    <mergeCell ref="B37:L37"/>
    <mergeCell ref="B38:L38"/>
    <mergeCell ref="B39:L39"/>
  </mergeCells>
  <hyperlinks>
    <hyperlink ref="H1" location="Index" display="Back to Index"/>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L55"/>
  <sheetViews>
    <sheetView workbookViewId="0">
      <selection activeCell="P12" sqref="P12"/>
    </sheetView>
  </sheetViews>
  <sheetFormatPr defaultRowHeight="15" x14ac:dyDescent="0.25"/>
  <cols>
    <col min="2" max="2" width="33.7109375" customWidth="1"/>
    <col min="3" max="6" width="5.7109375" bestFit="1" customWidth="1"/>
    <col min="7" max="7" width="6.140625" bestFit="1" customWidth="1"/>
    <col min="8" max="8" width="5.7109375" bestFit="1" customWidth="1"/>
    <col min="9" max="9" width="6.140625" bestFit="1" customWidth="1"/>
    <col min="10" max="11" width="5.7109375" bestFit="1" customWidth="1"/>
    <col min="12" max="12" width="8.7109375" bestFit="1" customWidth="1"/>
  </cols>
  <sheetData>
    <row r="1" spans="2:12" x14ac:dyDescent="0.25">
      <c r="B1" s="198"/>
      <c r="C1" s="198"/>
      <c r="D1" s="198"/>
      <c r="E1" s="198"/>
      <c r="F1" s="198"/>
      <c r="G1" s="198"/>
      <c r="H1" s="351" t="s">
        <v>709</v>
      </c>
      <c r="I1" s="198"/>
      <c r="J1" s="198"/>
      <c r="K1" s="198"/>
      <c r="L1" s="198"/>
    </row>
    <row r="2" spans="2:12" x14ac:dyDescent="0.25">
      <c r="B2" s="291" t="s">
        <v>20</v>
      </c>
      <c r="C2" s="631" t="s">
        <v>372</v>
      </c>
      <c r="D2" s="632"/>
      <c r="E2" s="632"/>
      <c r="F2" s="632"/>
      <c r="G2" s="632"/>
      <c r="H2" s="632"/>
      <c r="I2" s="632"/>
      <c r="J2" s="632"/>
      <c r="K2" s="632"/>
      <c r="L2" s="633"/>
    </row>
    <row r="3" spans="2:12" x14ac:dyDescent="0.25">
      <c r="B3" s="292"/>
      <c r="C3" s="293">
        <v>2015</v>
      </c>
      <c r="D3" s="294">
        <v>2020</v>
      </c>
      <c r="E3" s="293">
        <v>2030</v>
      </c>
      <c r="F3" s="295">
        <v>2050</v>
      </c>
      <c r="G3" s="631" t="s">
        <v>26</v>
      </c>
      <c r="H3" s="633"/>
      <c r="I3" s="631" t="s">
        <v>25</v>
      </c>
      <c r="J3" s="633"/>
      <c r="K3" s="293" t="s">
        <v>19</v>
      </c>
      <c r="L3" s="296" t="s">
        <v>18</v>
      </c>
    </row>
    <row r="4" spans="2:12" x14ac:dyDescent="0.25">
      <c r="B4" s="292"/>
      <c r="C4" s="297"/>
      <c r="D4" s="298"/>
      <c r="E4" s="298"/>
      <c r="F4" s="298"/>
      <c r="G4" s="294" t="s">
        <v>17</v>
      </c>
      <c r="H4" s="294" t="s">
        <v>16</v>
      </c>
      <c r="I4" s="294" t="s">
        <v>17</v>
      </c>
      <c r="J4" s="294" t="s">
        <v>16</v>
      </c>
      <c r="K4" s="298"/>
      <c r="L4" s="299"/>
    </row>
    <row r="5" spans="2:12" x14ac:dyDescent="0.25">
      <c r="B5" s="300" t="s">
        <v>15</v>
      </c>
      <c r="C5" s="298"/>
      <c r="D5" s="298"/>
      <c r="E5" s="298"/>
      <c r="F5" s="298"/>
      <c r="G5" s="298"/>
      <c r="H5" s="298"/>
      <c r="I5" s="298"/>
      <c r="J5" s="298"/>
      <c r="K5" s="298"/>
      <c r="L5" s="299"/>
    </row>
    <row r="6" spans="2:12" x14ac:dyDescent="0.25">
      <c r="B6" s="261" t="s">
        <v>316</v>
      </c>
      <c r="C6" s="262">
        <v>1</v>
      </c>
      <c r="D6" s="262">
        <v>10</v>
      </c>
      <c r="E6" s="262">
        <v>10</v>
      </c>
      <c r="F6" s="262">
        <v>10</v>
      </c>
      <c r="G6" s="262"/>
      <c r="H6" s="262"/>
      <c r="I6" s="262"/>
      <c r="J6" s="262"/>
      <c r="K6" s="262" t="s">
        <v>5</v>
      </c>
      <c r="L6" s="262" t="s">
        <v>317</v>
      </c>
    </row>
    <row r="7" spans="2:12" x14ac:dyDescent="0.25">
      <c r="B7" s="301"/>
      <c r="C7" s="301"/>
      <c r="D7" s="301"/>
      <c r="E7" s="301"/>
      <c r="F7" s="301"/>
      <c r="G7" s="301"/>
      <c r="H7" s="301"/>
      <c r="I7" s="301"/>
      <c r="J7" s="301"/>
      <c r="K7" s="301"/>
      <c r="L7" s="301"/>
    </row>
    <row r="8" spans="2:12" x14ac:dyDescent="0.25">
      <c r="B8" s="634" t="s">
        <v>249</v>
      </c>
      <c r="C8" s="635"/>
      <c r="D8" s="635"/>
      <c r="E8" s="635"/>
      <c r="F8" s="635"/>
      <c r="G8" s="635"/>
      <c r="H8" s="635"/>
      <c r="I8" s="635"/>
      <c r="J8" s="635"/>
      <c r="K8" s="635"/>
      <c r="L8" s="636"/>
    </row>
    <row r="9" spans="2:12" x14ac:dyDescent="0.25">
      <c r="B9" s="261" t="s">
        <v>250</v>
      </c>
      <c r="C9" s="262">
        <v>100</v>
      </c>
      <c r="D9" s="262">
        <v>100</v>
      </c>
      <c r="E9" s="262">
        <v>100</v>
      </c>
      <c r="F9" s="262">
        <v>100</v>
      </c>
      <c r="G9" s="262"/>
      <c r="H9" s="262"/>
      <c r="I9" s="262"/>
      <c r="J9" s="262"/>
      <c r="K9" s="262"/>
      <c r="L9" s="262"/>
    </row>
    <row r="10" spans="2:12" x14ac:dyDescent="0.25">
      <c r="B10" s="637" t="s">
        <v>253</v>
      </c>
      <c r="C10" s="638"/>
      <c r="D10" s="638"/>
      <c r="E10" s="638"/>
      <c r="F10" s="638"/>
      <c r="G10" s="638"/>
      <c r="H10" s="638"/>
      <c r="I10" s="638"/>
      <c r="J10" s="638"/>
      <c r="K10" s="638"/>
      <c r="L10" s="639"/>
    </row>
    <row r="11" spans="2:12" x14ac:dyDescent="0.25">
      <c r="B11" s="265" t="s">
        <v>318</v>
      </c>
      <c r="C11" s="263">
        <v>54</v>
      </c>
      <c r="D11" s="263">
        <v>58</v>
      </c>
      <c r="E11" s="263">
        <v>62</v>
      </c>
      <c r="F11" s="263">
        <v>67</v>
      </c>
      <c r="G11" s="263">
        <v>55</v>
      </c>
      <c r="H11" s="263">
        <v>60</v>
      </c>
      <c r="I11" s="263">
        <v>63</v>
      </c>
      <c r="J11" s="263">
        <v>72</v>
      </c>
      <c r="K11" s="263" t="s">
        <v>319</v>
      </c>
      <c r="L11" s="263" t="s">
        <v>320</v>
      </c>
    </row>
    <row r="12" spans="2:12" x14ac:dyDescent="0.25">
      <c r="B12" s="267" t="s">
        <v>256</v>
      </c>
      <c r="C12" s="302"/>
      <c r="D12" s="302"/>
      <c r="E12" s="303">
        <v>12</v>
      </c>
      <c r="F12" s="303">
        <v>10</v>
      </c>
      <c r="G12" s="264"/>
      <c r="H12" s="264"/>
      <c r="I12" s="264"/>
      <c r="J12" s="264"/>
      <c r="K12" s="264" t="s">
        <v>2</v>
      </c>
      <c r="L12" s="264"/>
    </row>
    <row r="13" spans="2:12" x14ac:dyDescent="0.25">
      <c r="B13" s="267"/>
      <c r="C13" s="264"/>
      <c r="D13" s="264"/>
      <c r="E13" s="264"/>
      <c r="F13" s="264"/>
      <c r="G13" s="264"/>
      <c r="H13" s="264"/>
      <c r="I13" s="264"/>
      <c r="J13" s="264"/>
      <c r="K13" s="264"/>
      <c r="L13" s="264"/>
    </row>
    <row r="14" spans="2:12" x14ac:dyDescent="0.25">
      <c r="B14" s="269" t="s">
        <v>100</v>
      </c>
      <c r="C14" s="264"/>
      <c r="D14" s="264"/>
      <c r="E14" s="264"/>
      <c r="F14" s="264"/>
      <c r="G14" s="263"/>
      <c r="H14" s="263"/>
      <c r="I14" s="263"/>
      <c r="J14" s="263"/>
      <c r="K14" s="264"/>
      <c r="L14" s="264"/>
    </row>
    <row r="15" spans="2:12" x14ac:dyDescent="0.25">
      <c r="B15" s="269" t="s">
        <v>24</v>
      </c>
      <c r="C15" s="264"/>
      <c r="D15" s="264"/>
      <c r="E15" s="264"/>
      <c r="F15" s="264"/>
      <c r="G15" s="264"/>
      <c r="H15" s="264"/>
      <c r="I15" s="264"/>
      <c r="J15" s="264"/>
      <c r="K15" s="264"/>
      <c r="L15" s="264"/>
    </row>
    <row r="16" spans="2:12" x14ac:dyDescent="0.25">
      <c r="B16" s="269" t="s">
        <v>14</v>
      </c>
      <c r="C16" s="264">
        <v>15</v>
      </c>
      <c r="D16" s="264">
        <v>15</v>
      </c>
      <c r="E16" s="264">
        <v>15</v>
      </c>
      <c r="F16" s="264">
        <v>15</v>
      </c>
      <c r="G16" s="263"/>
      <c r="H16" s="263"/>
      <c r="I16" s="263"/>
      <c r="J16" s="263"/>
      <c r="K16" s="264"/>
      <c r="L16" s="264"/>
    </row>
    <row r="17" spans="1:12" x14ac:dyDescent="0.25">
      <c r="B17" s="267" t="s">
        <v>12</v>
      </c>
      <c r="C17" s="264">
        <v>0.5</v>
      </c>
      <c r="D17" s="264">
        <v>0.5</v>
      </c>
      <c r="E17" s="264">
        <v>0.5</v>
      </c>
      <c r="F17" s="264">
        <v>0.5</v>
      </c>
      <c r="G17" s="264"/>
      <c r="H17" s="264"/>
      <c r="I17" s="264"/>
      <c r="J17" s="264"/>
      <c r="K17" s="264"/>
      <c r="L17" s="264"/>
    </row>
    <row r="18" spans="1:12" x14ac:dyDescent="0.25">
      <c r="B18" s="267"/>
      <c r="C18" s="264"/>
      <c r="D18" s="264"/>
      <c r="E18" s="264"/>
      <c r="F18" s="264"/>
      <c r="G18" s="264"/>
      <c r="H18" s="264"/>
      <c r="I18" s="264"/>
      <c r="J18" s="264"/>
      <c r="K18" s="264"/>
      <c r="L18" s="264"/>
    </row>
    <row r="19" spans="1:12" x14ac:dyDescent="0.25">
      <c r="B19" s="623" t="s">
        <v>9</v>
      </c>
      <c r="C19" s="624"/>
      <c r="D19" s="624"/>
      <c r="E19" s="624"/>
      <c r="F19" s="624"/>
      <c r="G19" s="624"/>
      <c r="H19" s="624"/>
      <c r="I19" s="624"/>
      <c r="J19" s="624"/>
      <c r="K19" s="624"/>
      <c r="L19" s="625"/>
    </row>
    <row r="20" spans="1:12" x14ac:dyDescent="0.25">
      <c r="B20" s="304" t="s">
        <v>321</v>
      </c>
      <c r="C20" s="305">
        <v>1.9</v>
      </c>
      <c r="D20" s="305">
        <v>1.1000000000000001</v>
      </c>
      <c r="E20" s="305">
        <v>0.6</v>
      </c>
      <c r="F20" s="306">
        <v>0.4</v>
      </c>
      <c r="G20" s="307">
        <v>0.8</v>
      </c>
      <c r="H20" s="307">
        <v>1.5</v>
      </c>
      <c r="I20" s="307">
        <v>0.2</v>
      </c>
      <c r="J20" s="307">
        <v>0.8</v>
      </c>
      <c r="K20" s="307" t="s">
        <v>322</v>
      </c>
      <c r="L20" s="307"/>
    </row>
    <row r="21" spans="1:12" x14ac:dyDescent="0.25">
      <c r="B21" s="308" t="s">
        <v>261</v>
      </c>
      <c r="C21" s="309">
        <f>1.6/C20*100</f>
        <v>84.21052631578948</v>
      </c>
      <c r="D21" s="309">
        <v>75</v>
      </c>
      <c r="E21" s="309">
        <v>67</v>
      </c>
      <c r="F21" s="309">
        <v>50</v>
      </c>
      <c r="G21" s="310"/>
      <c r="H21" s="310"/>
      <c r="I21" s="310"/>
      <c r="J21" s="310"/>
      <c r="K21" s="310" t="s">
        <v>0</v>
      </c>
      <c r="L21" s="310">
        <v>1</v>
      </c>
    </row>
    <row r="22" spans="1:12" x14ac:dyDescent="0.25">
      <c r="B22" s="311" t="s">
        <v>263</v>
      </c>
      <c r="C22" s="309">
        <f>100-C21</f>
        <v>15.78947368421052</v>
      </c>
      <c r="D22" s="309">
        <v>25</v>
      </c>
      <c r="E22" s="309">
        <v>33</v>
      </c>
      <c r="F22" s="309">
        <v>50</v>
      </c>
      <c r="G22" s="312"/>
      <c r="H22" s="312"/>
      <c r="I22" s="312"/>
      <c r="J22" s="312"/>
      <c r="K22" s="310"/>
      <c r="L22" s="310"/>
    </row>
    <row r="23" spans="1:12" x14ac:dyDescent="0.25">
      <c r="B23" s="313" t="s">
        <v>323</v>
      </c>
      <c r="C23" s="314">
        <f t="shared" ref="C23:J23" si="0">C20*0.05*1000000</f>
        <v>95000</v>
      </c>
      <c r="D23" s="314">
        <f t="shared" si="0"/>
        <v>55000.000000000007</v>
      </c>
      <c r="E23" s="314">
        <f t="shared" si="0"/>
        <v>30000</v>
      </c>
      <c r="F23" s="314">
        <f t="shared" si="0"/>
        <v>20000.000000000004</v>
      </c>
      <c r="G23" s="314">
        <f t="shared" si="0"/>
        <v>40000.000000000007</v>
      </c>
      <c r="H23" s="314">
        <f t="shared" si="0"/>
        <v>75000.000000000015</v>
      </c>
      <c r="I23" s="314">
        <f t="shared" si="0"/>
        <v>10000.000000000002</v>
      </c>
      <c r="J23" s="314">
        <f t="shared" si="0"/>
        <v>40000.000000000007</v>
      </c>
      <c r="K23" s="312" t="s">
        <v>324</v>
      </c>
      <c r="L23" s="312">
        <v>15</v>
      </c>
    </row>
    <row r="24" spans="1:12" x14ac:dyDescent="0.25">
      <c r="B24" s="308" t="s">
        <v>325</v>
      </c>
      <c r="C24" s="309">
        <v>0</v>
      </c>
      <c r="D24" s="309">
        <v>0</v>
      </c>
      <c r="E24" s="309">
        <v>0</v>
      </c>
      <c r="F24" s="315">
        <v>0</v>
      </c>
      <c r="G24" s="310">
        <v>0</v>
      </c>
      <c r="H24" s="310">
        <v>0</v>
      </c>
      <c r="I24" s="310">
        <v>0</v>
      </c>
      <c r="J24" s="310">
        <v>0</v>
      </c>
      <c r="K24" s="310" t="s">
        <v>4</v>
      </c>
      <c r="L24" s="310"/>
    </row>
    <row r="25" spans="1:12" x14ac:dyDescent="0.25">
      <c r="B25" s="308"/>
      <c r="C25" s="310"/>
      <c r="D25" s="310"/>
      <c r="E25" s="310"/>
      <c r="F25" s="308"/>
      <c r="G25" s="310"/>
      <c r="H25" s="310"/>
      <c r="I25" s="310"/>
      <c r="J25" s="308"/>
      <c r="K25" s="310"/>
      <c r="L25" s="310"/>
    </row>
    <row r="26" spans="1:12" x14ac:dyDescent="0.25">
      <c r="B26" s="628" t="s">
        <v>268</v>
      </c>
      <c r="C26" s="629"/>
      <c r="D26" s="629"/>
      <c r="E26" s="629"/>
      <c r="F26" s="629"/>
      <c r="G26" s="629"/>
      <c r="H26" s="629"/>
      <c r="I26" s="629"/>
      <c r="J26" s="629"/>
      <c r="K26" s="629"/>
      <c r="L26" s="630"/>
    </row>
    <row r="27" spans="1:12" x14ac:dyDescent="0.25">
      <c r="B27" s="308" t="s">
        <v>326</v>
      </c>
      <c r="C27" s="310">
        <v>67</v>
      </c>
      <c r="D27" s="310">
        <v>80</v>
      </c>
      <c r="E27" s="310">
        <v>85</v>
      </c>
      <c r="F27" s="316">
        <v>90</v>
      </c>
      <c r="G27" s="312"/>
      <c r="H27" s="312"/>
      <c r="I27" s="312"/>
      <c r="J27" s="312"/>
      <c r="K27" s="310" t="s">
        <v>42</v>
      </c>
      <c r="L27" s="310"/>
    </row>
    <row r="28" spans="1:12" x14ac:dyDescent="0.25">
      <c r="B28" s="308" t="s">
        <v>273</v>
      </c>
      <c r="C28" s="310">
        <v>1</v>
      </c>
      <c r="D28" s="310">
        <v>0.03</v>
      </c>
      <c r="E28" s="310">
        <v>0.01</v>
      </c>
      <c r="F28" s="316">
        <v>0.01</v>
      </c>
      <c r="G28" s="310"/>
      <c r="H28" s="310"/>
      <c r="I28" s="310"/>
      <c r="J28" s="310"/>
      <c r="K28" s="310"/>
      <c r="L28" s="310"/>
    </row>
    <row r="29" spans="1:12" x14ac:dyDescent="0.25">
      <c r="B29" s="308" t="s">
        <v>274</v>
      </c>
      <c r="C29" s="310">
        <v>0.02</v>
      </c>
      <c r="D29" s="310">
        <v>0.02</v>
      </c>
      <c r="E29" s="310">
        <v>0.02</v>
      </c>
      <c r="F29" s="310">
        <v>0.02</v>
      </c>
      <c r="G29" s="312"/>
      <c r="H29" s="312"/>
      <c r="I29" s="312"/>
      <c r="J29" s="312"/>
      <c r="K29" s="310" t="s">
        <v>135</v>
      </c>
      <c r="L29" s="310"/>
    </row>
    <row r="30" spans="1:12" x14ac:dyDescent="0.25">
      <c r="B30" s="311" t="s">
        <v>275</v>
      </c>
      <c r="C30" s="310">
        <v>5</v>
      </c>
      <c r="D30" s="310">
        <v>0.5</v>
      </c>
      <c r="E30" s="310">
        <v>0.15</v>
      </c>
      <c r="F30" s="310">
        <v>0.15</v>
      </c>
      <c r="G30" s="310"/>
      <c r="H30" s="310"/>
      <c r="I30" s="310"/>
      <c r="J30" s="310"/>
      <c r="K30" s="310" t="s">
        <v>99</v>
      </c>
      <c r="L30" s="310"/>
    </row>
    <row r="31" spans="1:12" x14ac:dyDescent="0.25">
      <c r="A31" s="215"/>
      <c r="B31" s="317"/>
      <c r="C31" s="215"/>
      <c r="D31" s="215"/>
      <c r="E31" s="215"/>
      <c r="F31" s="215"/>
      <c r="G31" s="215"/>
      <c r="H31" s="215"/>
      <c r="I31" s="215"/>
      <c r="J31" s="215"/>
      <c r="K31" s="215"/>
      <c r="L31" s="215"/>
    </row>
    <row r="32" spans="1:12" x14ac:dyDescent="0.25">
      <c r="B32" s="283" t="s">
        <v>6</v>
      </c>
      <c r="C32" s="5"/>
      <c r="D32" s="5"/>
      <c r="E32" s="5"/>
      <c r="F32" s="5"/>
      <c r="G32" s="5"/>
      <c r="H32" s="5"/>
      <c r="I32" s="5"/>
      <c r="J32" s="5"/>
      <c r="K32" s="5"/>
      <c r="L32" s="5"/>
    </row>
    <row r="33" spans="1:12" x14ac:dyDescent="0.25">
      <c r="A33" s="4" t="s">
        <v>5</v>
      </c>
      <c r="B33" s="23" t="s">
        <v>327</v>
      </c>
      <c r="C33" s="23"/>
      <c r="D33" s="23"/>
      <c r="E33" s="23"/>
      <c r="F33" s="23"/>
      <c r="G33" s="23"/>
      <c r="H33" s="23"/>
      <c r="I33" s="23"/>
      <c r="J33" s="23"/>
      <c r="K33" s="23"/>
      <c r="L33" s="23"/>
    </row>
    <row r="34" spans="1:12" x14ac:dyDescent="0.25">
      <c r="A34" s="4" t="s">
        <v>4</v>
      </c>
      <c r="B34" s="23" t="s">
        <v>328</v>
      </c>
      <c r="C34" s="23"/>
      <c r="D34" s="23"/>
      <c r="E34" s="23"/>
      <c r="F34" s="23"/>
      <c r="G34" s="23"/>
      <c r="H34" s="23"/>
      <c r="I34" s="23"/>
      <c r="J34" s="23"/>
      <c r="K34" s="23"/>
      <c r="L34" s="23"/>
    </row>
    <row r="35" spans="1:12" x14ac:dyDescent="0.25">
      <c r="A35" s="4" t="s">
        <v>3</v>
      </c>
      <c r="B35" s="23" t="s">
        <v>329</v>
      </c>
      <c r="C35" s="23"/>
      <c r="D35" s="23"/>
      <c r="E35" s="23"/>
      <c r="F35" s="23"/>
      <c r="G35" s="23"/>
      <c r="H35" s="23"/>
      <c r="I35" s="23"/>
      <c r="J35" s="23"/>
      <c r="K35" s="23"/>
      <c r="L35" s="23"/>
    </row>
    <row r="36" spans="1:12" x14ac:dyDescent="0.25">
      <c r="A36" s="4" t="s">
        <v>2</v>
      </c>
      <c r="B36" s="23" t="s">
        <v>330</v>
      </c>
      <c r="C36" s="23"/>
      <c r="D36" s="23"/>
      <c r="E36" s="23"/>
      <c r="F36" s="23"/>
      <c r="G36" s="23"/>
      <c r="H36" s="23"/>
      <c r="I36" s="23"/>
      <c r="J36" s="23"/>
      <c r="K36" s="23"/>
      <c r="L36" s="23"/>
    </row>
    <row r="37" spans="1:12" x14ac:dyDescent="0.25">
      <c r="A37" s="4" t="s">
        <v>1</v>
      </c>
      <c r="B37" s="23" t="s">
        <v>331</v>
      </c>
      <c r="C37" s="23"/>
      <c r="D37" s="23"/>
      <c r="E37" s="23"/>
      <c r="F37" s="23"/>
      <c r="G37" s="23"/>
      <c r="H37" s="23"/>
      <c r="I37" s="23"/>
      <c r="J37" s="23"/>
      <c r="K37" s="23"/>
      <c r="L37" s="23"/>
    </row>
    <row r="38" spans="1:12" x14ac:dyDescent="0.25">
      <c r="A38" s="4" t="s">
        <v>0</v>
      </c>
      <c r="B38" s="23" t="s">
        <v>332</v>
      </c>
      <c r="C38" s="23"/>
      <c r="D38" s="23"/>
      <c r="E38" s="23"/>
      <c r="F38" s="23"/>
      <c r="G38" s="23"/>
      <c r="H38" s="23"/>
      <c r="I38" s="23"/>
      <c r="J38" s="23"/>
      <c r="K38" s="23"/>
      <c r="L38" s="23"/>
    </row>
    <row r="39" spans="1:12" x14ac:dyDescent="0.25">
      <c r="A39" s="4" t="s">
        <v>41</v>
      </c>
      <c r="B39" s="23" t="s">
        <v>333</v>
      </c>
      <c r="C39" s="23"/>
      <c r="D39" s="23"/>
      <c r="E39" s="23"/>
      <c r="F39" s="23"/>
      <c r="G39" s="23"/>
      <c r="H39" s="23"/>
      <c r="I39" s="23"/>
      <c r="J39" s="23"/>
      <c r="K39" s="23"/>
      <c r="L39" s="23"/>
    </row>
    <row r="40" spans="1:12" x14ac:dyDescent="0.25">
      <c r="A40" s="4" t="s">
        <v>42</v>
      </c>
      <c r="B40" s="23" t="s">
        <v>334</v>
      </c>
      <c r="C40" s="23"/>
      <c r="D40" s="23"/>
      <c r="E40" s="23"/>
      <c r="F40" s="23"/>
      <c r="G40" s="23"/>
      <c r="H40" s="23"/>
      <c r="I40" s="23"/>
      <c r="J40" s="23"/>
      <c r="K40" s="23"/>
      <c r="L40" s="23"/>
    </row>
    <row r="41" spans="1:12" x14ac:dyDescent="0.25">
      <c r="A41" s="4" t="s">
        <v>135</v>
      </c>
      <c r="B41" s="23" t="s">
        <v>335</v>
      </c>
      <c r="C41" s="23"/>
      <c r="D41" s="23"/>
      <c r="E41" s="23"/>
      <c r="F41" s="23"/>
      <c r="G41" s="23"/>
      <c r="H41" s="23"/>
      <c r="I41" s="23"/>
      <c r="J41" s="23"/>
      <c r="K41" s="23"/>
      <c r="L41" s="23"/>
    </row>
    <row r="42" spans="1:12" x14ac:dyDescent="0.25">
      <c r="A42" s="4" t="s">
        <v>99</v>
      </c>
      <c r="B42" s="23" t="s">
        <v>336</v>
      </c>
      <c r="C42" s="23"/>
      <c r="D42" s="23"/>
      <c r="E42" s="23"/>
      <c r="F42" s="23"/>
      <c r="G42" s="23"/>
      <c r="H42" s="23"/>
      <c r="I42" s="23"/>
      <c r="J42" s="23"/>
      <c r="K42" s="23"/>
      <c r="L42" s="23"/>
    </row>
    <row r="43" spans="1:12" x14ac:dyDescent="0.25">
      <c r="A43" s="4" t="s">
        <v>111</v>
      </c>
      <c r="B43" s="23" t="s">
        <v>337</v>
      </c>
      <c r="C43" s="23"/>
      <c r="D43" s="23"/>
      <c r="E43" s="23"/>
      <c r="F43" s="23"/>
      <c r="G43" s="23"/>
      <c r="H43" s="23"/>
      <c r="I43" s="23"/>
      <c r="J43" s="23"/>
      <c r="K43" s="23"/>
      <c r="L43" s="23"/>
    </row>
    <row r="44" spans="1:12" x14ac:dyDescent="0.25">
      <c r="A44" s="4"/>
      <c r="B44" s="248"/>
      <c r="C44" s="215"/>
      <c r="D44" s="215"/>
      <c r="E44" s="215"/>
      <c r="F44" s="215"/>
      <c r="G44" s="215"/>
      <c r="H44" s="215"/>
      <c r="I44" s="215"/>
      <c r="J44" s="215"/>
      <c r="K44" s="215"/>
      <c r="L44" s="215"/>
    </row>
    <row r="45" spans="1:12" x14ac:dyDescent="0.25">
      <c r="B45" s="283" t="s">
        <v>28</v>
      </c>
      <c r="C45" s="248"/>
      <c r="D45" s="248"/>
      <c r="E45" s="215"/>
      <c r="F45" s="215"/>
      <c r="G45" s="215"/>
      <c r="H45" s="215"/>
      <c r="I45" s="215"/>
      <c r="J45" s="215"/>
      <c r="K45" s="215"/>
      <c r="L45" s="215"/>
    </row>
    <row r="46" spans="1:12" x14ac:dyDescent="0.25">
      <c r="A46" s="318" t="s">
        <v>288</v>
      </c>
      <c r="B46" s="319" t="s">
        <v>338</v>
      </c>
      <c r="C46" s="248"/>
      <c r="D46" s="248"/>
      <c r="E46" s="215"/>
      <c r="F46" s="215"/>
      <c r="G46" s="215"/>
      <c r="H46" s="215"/>
      <c r="I46" s="215"/>
      <c r="J46" s="215"/>
      <c r="K46" s="215"/>
      <c r="L46" s="215"/>
    </row>
    <row r="47" spans="1:12" x14ac:dyDescent="0.25">
      <c r="A47" s="318" t="s">
        <v>294</v>
      </c>
      <c r="B47" s="320" t="s">
        <v>339</v>
      </c>
      <c r="C47" s="248"/>
      <c r="D47" s="248"/>
      <c r="E47" s="215"/>
      <c r="F47" s="215"/>
      <c r="G47" s="215"/>
      <c r="H47" s="215"/>
      <c r="I47" s="215"/>
      <c r="J47" s="215"/>
      <c r="K47" s="215"/>
      <c r="L47" s="215"/>
    </row>
    <row r="48" spans="1:12" x14ac:dyDescent="0.25">
      <c r="A48" s="318" t="s">
        <v>296</v>
      </c>
      <c r="B48" s="320" t="s">
        <v>340</v>
      </c>
      <c r="C48" s="248"/>
      <c r="D48" s="248"/>
      <c r="E48" s="215"/>
      <c r="F48" s="215"/>
      <c r="G48" s="215"/>
      <c r="H48" s="215"/>
      <c r="I48" s="215"/>
      <c r="J48" s="215"/>
      <c r="K48" s="215"/>
      <c r="L48" s="215"/>
    </row>
    <row r="49" spans="1:12" x14ac:dyDescent="0.25">
      <c r="A49" s="318" t="s">
        <v>298</v>
      </c>
      <c r="B49" s="319" t="s">
        <v>341</v>
      </c>
      <c r="C49" s="215"/>
      <c r="D49" s="215"/>
      <c r="E49" s="215"/>
      <c r="F49" s="215"/>
      <c r="G49" s="215"/>
      <c r="H49" s="215"/>
      <c r="I49" s="215"/>
      <c r="J49" s="215"/>
      <c r="K49" s="215"/>
      <c r="L49" s="215"/>
    </row>
    <row r="50" spans="1:12" x14ac:dyDescent="0.25">
      <c r="A50" s="318" t="s">
        <v>300</v>
      </c>
      <c r="B50" s="319" t="s">
        <v>342</v>
      </c>
    </row>
    <row r="51" spans="1:12" x14ac:dyDescent="0.25">
      <c r="A51" s="318" t="s">
        <v>302</v>
      </c>
      <c r="B51" s="319" t="s">
        <v>343</v>
      </c>
    </row>
    <row r="52" spans="1:12" x14ac:dyDescent="0.25">
      <c r="A52" s="318" t="s">
        <v>310</v>
      </c>
      <c r="B52" s="320" t="s">
        <v>344</v>
      </c>
    </row>
    <row r="53" spans="1:12" x14ac:dyDescent="0.25">
      <c r="A53" s="318" t="s">
        <v>345</v>
      </c>
      <c r="B53" s="321" t="s">
        <v>346</v>
      </c>
    </row>
    <row r="54" spans="1:12" x14ac:dyDescent="0.25">
      <c r="A54" s="318" t="s">
        <v>347</v>
      </c>
      <c r="B54" s="321" t="s">
        <v>348</v>
      </c>
    </row>
    <row r="55" spans="1:12" x14ac:dyDescent="0.25">
      <c r="A55" s="322" t="s">
        <v>349</v>
      </c>
      <c r="B55" s="323" t="s">
        <v>315</v>
      </c>
    </row>
  </sheetData>
  <mergeCells count="7">
    <mergeCell ref="B26:L26"/>
    <mergeCell ref="C2:L2"/>
    <mergeCell ref="G3:H3"/>
    <mergeCell ref="I3:J3"/>
    <mergeCell ref="B8:L8"/>
    <mergeCell ref="B10:L10"/>
    <mergeCell ref="B19:L19"/>
  </mergeCells>
  <hyperlinks>
    <hyperlink ref="B51" r:id="rId1"/>
    <hyperlink ref="H1" location="Index" display="Back to Index"/>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48"/>
  <sheetViews>
    <sheetView topLeftCell="A22" workbookViewId="0">
      <selection activeCell="B32" sqref="B32"/>
    </sheetView>
  </sheetViews>
  <sheetFormatPr defaultRowHeight="15" x14ac:dyDescent="0.25"/>
  <cols>
    <col min="2" max="2" width="33.7109375" customWidth="1"/>
    <col min="3" max="6" width="5.7109375" bestFit="1" customWidth="1"/>
    <col min="7" max="7" width="6.140625" bestFit="1" customWidth="1"/>
    <col min="8" max="8" width="5.7109375" bestFit="1" customWidth="1"/>
    <col min="9" max="9" width="6.140625" bestFit="1" customWidth="1"/>
    <col min="10" max="10" width="5.7109375" bestFit="1" customWidth="1"/>
    <col min="11" max="11" width="4.5703125" bestFit="1" customWidth="1"/>
    <col min="12" max="12" width="5.28515625" bestFit="1" customWidth="1"/>
  </cols>
  <sheetData>
    <row r="1" spans="2:12" x14ac:dyDescent="0.25">
      <c r="H1" s="355" t="s">
        <v>709</v>
      </c>
    </row>
    <row r="2" spans="2:12" x14ac:dyDescent="0.25">
      <c r="B2" s="324" t="s">
        <v>20</v>
      </c>
      <c r="C2" s="643" t="s">
        <v>350</v>
      </c>
      <c r="D2" s="644"/>
      <c r="E2" s="644"/>
      <c r="F2" s="644"/>
      <c r="G2" s="644"/>
      <c r="H2" s="644"/>
      <c r="I2" s="644"/>
      <c r="J2" s="644"/>
      <c r="K2" s="644"/>
      <c r="L2" s="645"/>
    </row>
    <row r="3" spans="2:12" x14ac:dyDescent="0.25">
      <c r="B3" s="325"/>
      <c r="C3" s="326">
        <v>2015</v>
      </c>
      <c r="D3" s="327">
        <v>2020</v>
      </c>
      <c r="E3" s="326">
        <v>2030</v>
      </c>
      <c r="F3" s="328">
        <v>2050</v>
      </c>
      <c r="G3" s="646" t="s">
        <v>26</v>
      </c>
      <c r="H3" s="647"/>
      <c r="I3" s="643" t="s">
        <v>25</v>
      </c>
      <c r="J3" s="645"/>
      <c r="K3" s="326" t="s">
        <v>19</v>
      </c>
      <c r="L3" s="329" t="s">
        <v>18</v>
      </c>
    </row>
    <row r="4" spans="2:12" x14ac:dyDescent="0.25">
      <c r="B4" s="325"/>
      <c r="C4" s="330"/>
      <c r="D4" s="331"/>
      <c r="E4" s="331"/>
      <c r="F4" s="331"/>
      <c r="G4" s="327" t="s">
        <v>17</v>
      </c>
      <c r="H4" s="327" t="s">
        <v>16</v>
      </c>
      <c r="I4" s="327" t="s">
        <v>17</v>
      </c>
      <c r="J4" s="327" t="s">
        <v>16</v>
      </c>
      <c r="K4" s="331"/>
      <c r="L4" s="332"/>
    </row>
    <row r="5" spans="2:12" x14ac:dyDescent="0.25">
      <c r="B5" s="333" t="s">
        <v>15</v>
      </c>
      <c r="C5" s="331"/>
      <c r="D5" s="331"/>
      <c r="E5" s="331"/>
      <c r="F5" s="331"/>
      <c r="G5" s="331"/>
      <c r="H5" s="331"/>
      <c r="I5" s="331"/>
      <c r="J5" s="331"/>
      <c r="K5" s="331"/>
      <c r="L5" s="332"/>
    </row>
    <row r="6" spans="2:12" x14ac:dyDescent="0.25">
      <c r="B6" s="334" t="s">
        <v>316</v>
      </c>
      <c r="C6" s="335">
        <v>10</v>
      </c>
      <c r="D6" s="335">
        <v>10</v>
      </c>
      <c r="E6" s="335">
        <v>10</v>
      </c>
      <c r="F6" s="335">
        <v>10</v>
      </c>
      <c r="G6" s="335"/>
      <c r="H6" s="335"/>
      <c r="I6" s="335"/>
      <c r="J6" s="335"/>
      <c r="K6" s="335" t="s">
        <v>5</v>
      </c>
      <c r="L6" s="335" t="s">
        <v>271</v>
      </c>
    </row>
    <row r="7" spans="2:12" x14ac:dyDescent="0.25">
      <c r="B7" s="336"/>
      <c r="C7" s="336"/>
      <c r="D7" s="336"/>
      <c r="E7" s="336"/>
      <c r="F7" s="336"/>
      <c r="G7" s="336"/>
      <c r="H7" s="336"/>
      <c r="I7" s="336"/>
      <c r="J7" s="336"/>
      <c r="K7" s="336"/>
      <c r="L7" s="336"/>
    </row>
    <row r="8" spans="2:12" x14ac:dyDescent="0.25">
      <c r="B8" s="648" t="s">
        <v>249</v>
      </c>
      <c r="C8" s="649"/>
      <c r="D8" s="649"/>
      <c r="E8" s="649"/>
      <c r="F8" s="649"/>
      <c r="G8" s="649"/>
      <c r="H8" s="649"/>
      <c r="I8" s="649"/>
      <c r="J8" s="649"/>
      <c r="K8" s="649"/>
      <c r="L8" s="650"/>
    </row>
    <row r="9" spans="2:12" x14ac:dyDescent="0.25">
      <c r="B9" s="334" t="s">
        <v>250</v>
      </c>
      <c r="C9" s="335">
        <v>100</v>
      </c>
      <c r="D9" s="335">
        <v>100</v>
      </c>
      <c r="E9" s="335">
        <v>100</v>
      </c>
      <c r="F9" s="335">
        <v>100</v>
      </c>
      <c r="G9" s="335"/>
      <c r="H9" s="335"/>
      <c r="I9" s="335"/>
      <c r="J9" s="335"/>
      <c r="K9" s="335"/>
      <c r="L9" s="335"/>
    </row>
    <row r="10" spans="2:12" x14ac:dyDescent="0.25">
      <c r="B10" s="648" t="s">
        <v>253</v>
      </c>
      <c r="C10" s="649"/>
      <c r="D10" s="649"/>
      <c r="E10" s="649"/>
      <c r="F10" s="649"/>
      <c r="G10" s="649"/>
      <c r="H10" s="649"/>
      <c r="I10" s="649"/>
      <c r="J10" s="649"/>
      <c r="K10" s="649"/>
      <c r="L10" s="650"/>
    </row>
    <row r="11" spans="2:12" x14ac:dyDescent="0.25">
      <c r="B11" s="304" t="s">
        <v>351</v>
      </c>
      <c r="C11" s="337">
        <v>61.2</v>
      </c>
      <c r="D11" s="337">
        <v>63.6</v>
      </c>
      <c r="E11" s="337">
        <v>65.900000000000006</v>
      </c>
      <c r="F11" s="303">
        <v>69.2</v>
      </c>
      <c r="G11" s="303">
        <v>62</v>
      </c>
      <c r="H11" s="303">
        <v>65</v>
      </c>
      <c r="I11" s="303">
        <v>66</v>
      </c>
      <c r="J11" s="303">
        <v>70</v>
      </c>
      <c r="K11" s="307" t="s">
        <v>2</v>
      </c>
      <c r="L11" s="307" t="s">
        <v>352</v>
      </c>
    </row>
    <row r="12" spans="2:12" x14ac:dyDescent="0.25">
      <c r="B12" s="269" t="s">
        <v>256</v>
      </c>
      <c r="C12" s="303">
        <v>0</v>
      </c>
      <c r="D12" s="303">
        <v>14</v>
      </c>
      <c r="E12" s="303">
        <v>12</v>
      </c>
      <c r="F12" s="303">
        <v>8</v>
      </c>
      <c r="G12" s="303"/>
      <c r="H12" s="303"/>
      <c r="I12" s="303"/>
      <c r="J12" s="303"/>
      <c r="K12" s="303"/>
      <c r="L12" s="303"/>
    </row>
    <row r="13" spans="2:12" x14ac:dyDescent="0.25">
      <c r="B13" s="269"/>
      <c r="C13" s="303"/>
      <c r="D13" s="113"/>
      <c r="E13" s="113"/>
      <c r="F13" s="113"/>
      <c r="G13" s="303"/>
      <c r="H13" s="303"/>
      <c r="I13" s="303"/>
      <c r="J13" s="303"/>
      <c r="K13" s="303"/>
      <c r="L13" s="303"/>
    </row>
    <row r="14" spans="2:12" x14ac:dyDescent="0.25">
      <c r="B14" s="269" t="s">
        <v>100</v>
      </c>
      <c r="C14" s="303"/>
      <c r="D14" s="303"/>
      <c r="E14" s="303"/>
      <c r="F14" s="303"/>
      <c r="G14" s="303"/>
      <c r="H14" s="303"/>
      <c r="I14" s="303"/>
      <c r="J14" s="303"/>
      <c r="K14" s="303"/>
      <c r="L14" s="303"/>
    </row>
    <row r="15" spans="2:12" x14ac:dyDescent="0.25">
      <c r="B15" s="269" t="s">
        <v>24</v>
      </c>
      <c r="C15" s="303"/>
      <c r="D15" s="303"/>
      <c r="E15" s="303"/>
      <c r="F15" s="303"/>
      <c r="G15" s="303"/>
      <c r="H15" s="303"/>
      <c r="I15" s="303"/>
      <c r="J15" s="303"/>
      <c r="K15" s="303"/>
      <c r="L15" s="303"/>
    </row>
    <row r="16" spans="2:12" x14ac:dyDescent="0.25">
      <c r="B16" s="269" t="s">
        <v>14</v>
      </c>
      <c r="C16" s="303">
        <v>25</v>
      </c>
      <c r="D16" s="303">
        <v>25</v>
      </c>
      <c r="E16" s="303">
        <v>25</v>
      </c>
      <c r="F16" s="303">
        <v>25</v>
      </c>
      <c r="G16" s="303"/>
      <c r="H16" s="303"/>
      <c r="I16" s="303"/>
      <c r="J16" s="303"/>
      <c r="K16" s="303"/>
      <c r="L16" s="303"/>
    </row>
    <row r="17" spans="1:12" x14ac:dyDescent="0.25">
      <c r="B17" s="269" t="s">
        <v>12</v>
      </c>
      <c r="C17" s="303">
        <v>0.5</v>
      </c>
      <c r="D17" s="303">
        <v>0.5</v>
      </c>
      <c r="E17" s="303">
        <v>0.5</v>
      </c>
      <c r="F17" s="303">
        <v>0.5</v>
      </c>
      <c r="G17" s="303"/>
      <c r="H17" s="303"/>
      <c r="I17" s="303"/>
      <c r="J17" s="303"/>
      <c r="K17" s="303"/>
      <c r="L17" s="303"/>
    </row>
    <row r="18" spans="1:12" x14ac:dyDescent="0.25">
      <c r="B18" s="269"/>
      <c r="C18" s="303"/>
      <c r="D18" s="303"/>
      <c r="E18" s="303"/>
      <c r="F18" s="303"/>
      <c r="G18" s="303"/>
      <c r="H18" s="303"/>
      <c r="I18" s="303"/>
      <c r="J18" s="303"/>
      <c r="K18" s="303"/>
      <c r="L18" s="303"/>
    </row>
    <row r="19" spans="1:12" x14ac:dyDescent="0.25">
      <c r="B19" s="651" t="s">
        <v>9</v>
      </c>
      <c r="C19" s="652"/>
      <c r="D19" s="652"/>
      <c r="E19" s="652"/>
      <c r="F19" s="652"/>
      <c r="G19" s="652"/>
      <c r="H19" s="652"/>
      <c r="I19" s="652"/>
      <c r="J19" s="652"/>
      <c r="K19" s="652"/>
      <c r="L19" s="653"/>
    </row>
    <row r="20" spans="1:12" x14ac:dyDescent="0.25">
      <c r="B20" s="304" t="s">
        <v>321</v>
      </c>
      <c r="C20" s="272">
        <v>1.07</v>
      </c>
      <c r="D20" s="272">
        <v>0.6</v>
      </c>
      <c r="E20" s="272">
        <v>0.55000000000000004</v>
      </c>
      <c r="F20" s="273">
        <v>0.5</v>
      </c>
      <c r="G20" s="303">
        <v>0.4</v>
      </c>
      <c r="H20" s="303">
        <v>0.8</v>
      </c>
      <c r="I20" s="303">
        <v>0.35</v>
      </c>
      <c r="J20" s="303">
        <v>0.7</v>
      </c>
      <c r="K20" s="307" t="s">
        <v>353</v>
      </c>
      <c r="L20" s="307" t="s">
        <v>354</v>
      </c>
    </row>
    <row r="21" spans="1:12" x14ac:dyDescent="0.25">
      <c r="B21" s="269" t="s">
        <v>261</v>
      </c>
      <c r="C21" s="338">
        <v>66</v>
      </c>
      <c r="D21" s="338">
        <v>63</v>
      </c>
      <c r="E21" s="338">
        <v>73</v>
      </c>
      <c r="F21" s="303">
        <v>77</v>
      </c>
      <c r="G21" s="303"/>
      <c r="H21" s="303"/>
      <c r="I21" s="303"/>
      <c r="J21" s="269"/>
      <c r="K21" s="303"/>
      <c r="L21" s="303" t="s">
        <v>355</v>
      </c>
    </row>
    <row r="22" spans="1:12" x14ac:dyDescent="0.25">
      <c r="B22" s="339" t="s">
        <v>263</v>
      </c>
      <c r="C22" s="338">
        <v>34</v>
      </c>
      <c r="D22" s="338">
        <v>37</v>
      </c>
      <c r="E22" s="338">
        <v>27</v>
      </c>
      <c r="F22" s="303">
        <v>23</v>
      </c>
      <c r="G22" s="303"/>
      <c r="H22" s="303"/>
      <c r="I22" s="303"/>
      <c r="J22" s="339"/>
      <c r="K22" s="303"/>
      <c r="L22" s="303">
        <v>1</v>
      </c>
    </row>
    <row r="23" spans="1:12" x14ac:dyDescent="0.25">
      <c r="B23" s="304" t="s">
        <v>323</v>
      </c>
      <c r="C23" s="279">
        <f t="shared" ref="C23:J23" si="0">C20*0.05*1000000</f>
        <v>53500.000000000007</v>
      </c>
      <c r="D23" s="279">
        <f t="shared" si="0"/>
        <v>30000</v>
      </c>
      <c r="E23" s="279">
        <f t="shared" si="0"/>
        <v>27500.000000000004</v>
      </c>
      <c r="F23" s="279">
        <f t="shared" si="0"/>
        <v>25000</v>
      </c>
      <c r="G23" s="279">
        <f t="shared" si="0"/>
        <v>20000.000000000004</v>
      </c>
      <c r="H23" s="279">
        <f t="shared" si="0"/>
        <v>40000.000000000007</v>
      </c>
      <c r="I23" s="279">
        <f t="shared" si="0"/>
        <v>17500</v>
      </c>
      <c r="J23" s="279">
        <f t="shared" si="0"/>
        <v>35000</v>
      </c>
      <c r="K23" s="303" t="s">
        <v>356</v>
      </c>
      <c r="L23" s="307"/>
    </row>
    <row r="24" spans="1:12" x14ac:dyDescent="0.25">
      <c r="B24" s="269" t="s">
        <v>357</v>
      </c>
      <c r="C24" s="340">
        <v>0</v>
      </c>
      <c r="D24" s="340">
        <v>0</v>
      </c>
      <c r="E24" s="340">
        <v>0</v>
      </c>
      <c r="F24" s="340">
        <v>0</v>
      </c>
      <c r="G24" s="303"/>
      <c r="H24" s="303"/>
      <c r="I24" s="303"/>
      <c r="J24" s="269"/>
      <c r="K24" s="303" t="s">
        <v>3</v>
      </c>
      <c r="L24" s="303"/>
    </row>
    <row r="25" spans="1:12" x14ac:dyDescent="0.25">
      <c r="B25" s="269"/>
      <c r="C25" s="303"/>
      <c r="D25" s="303"/>
      <c r="E25" s="303"/>
      <c r="F25" s="269"/>
      <c r="G25" s="303"/>
      <c r="H25" s="303"/>
      <c r="I25" s="303"/>
      <c r="J25" s="269"/>
      <c r="K25" s="303"/>
      <c r="L25" s="303"/>
    </row>
    <row r="26" spans="1:12" x14ac:dyDescent="0.25">
      <c r="B26" s="640" t="s">
        <v>268</v>
      </c>
      <c r="C26" s="641"/>
      <c r="D26" s="641"/>
      <c r="E26" s="641"/>
      <c r="F26" s="641"/>
      <c r="G26" s="641"/>
      <c r="H26" s="641"/>
      <c r="I26" s="641"/>
      <c r="J26" s="641"/>
      <c r="K26" s="641"/>
      <c r="L26" s="642"/>
    </row>
    <row r="27" spans="1:12" x14ac:dyDescent="0.25">
      <c r="B27" s="341" t="s">
        <v>326</v>
      </c>
      <c r="C27" s="303">
        <v>80</v>
      </c>
      <c r="D27" s="303">
        <v>80</v>
      </c>
      <c r="E27" s="303">
        <v>80</v>
      </c>
      <c r="F27" s="303">
        <v>80</v>
      </c>
      <c r="G27" s="336"/>
      <c r="H27" s="336"/>
      <c r="I27" s="336"/>
      <c r="J27" s="341"/>
      <c r="K27" s="336"/>
      <c r="L27" s="336">
        <v>2</v>
      </c>
    </row>
    <row r="28" spans="1:12" x14ac:dyDescent="0.25">
      <c r="B28" s="342" t="s">
        <v>273</v>
      </c>
      <c r="C28" s="336">
        <v>8</v>
      </c>
      <c r="D28" s="336">
        <v>8</v>
      </c>
      <c r="E28" s="336">
        <v>0.5</v>
      </c>
      <c r="F28" s="336">
        <v>0.5</v>
      </c>
      <c r="G28" s="336"/>
      <c r="H28" s="336"/>
      <c r="I28" s="336"/>
      <c r="J28" s="342"/>
      <c r="K28" s="336" t="s">
        <v>0</v>
      </c>
      <c r="L28" s="336"/>
    </row>
    <row r="29" spans="1:12" x14ac:dyDescent="0.25">
      <c r="B29" s="342" t="s">
        <v>274</v>
      </c>
      <c r="C29" s="336">
        <v>8</v>
      </c>
      <c r="D29" s="336">
        <v>8</v>
      </c>
      <c r="E29" s="336">
        <v>0.08</v>
      </c>
      <c r="F29" s="336">
        <v>0.08</v>
      </c>
      <c r="G29" s="336"/>
      <c r="H29" s="336"/>
      <c r="I29" s="336"/>
      <c r="J29" s="342"/>
      <c r="K29" s="336" t="s">
        <v>0</v>
      </c>
      <c r="L29" s="336"/>
    </row>
    <row r="30" spans="1:12" x14ac:dyDescent="0.25">
      <c r="B30" s="341"/>
      <c r="C30" s="336"/>
      <c r="D30" s="336"/>
      <c r="E30" s="336"/>
      <c r="F30" s="336"/>
      <c r="G30" s="336"/>
      <c r="H30" s="336"/>
      <c r="I30" s="336"/>
      <c r="J30" s="341"/>
      <c r="K30" s="336"/>
      <c r="L30" s="336"/>
    </row>
    <row r="31" spans="1:12" x14ac:dyDescent="0.25">
      <c r="A31" s="100"/>
      <c r="B31" s="100"/>
      <c r="C31" s="244"/>
      <c r="D31" s="244"/>
      <c r="E31" s="244"/>
      <c r="F31" s="244"/>
      <c r="G31" s="244"/>
      <c r="H31" s="244"/>
      <c r="I31" s="244"/>
      <c r="J31" s="244"/>
      <c r="K31" s="12"/>
      <c r="L31" s="12"/>
    </row>
    <row r="32" spans="1:12" x14ac:dyDescent="0.25">
      <c r="B32" s="283" t="s">
        <v>6</v>
      </c>
      <c r="C32" s="5"/>
      <c r="D32" s="5"/>
      <c r="E32" s="5"/>
      <c r="F32" s="5"/>
      <c r="G32" s="5"/>
      <c r="H32" s="5"/>
      <c r="I32" s="5"/>
      <c r="J32" s="5"/>
      <c r="K32" s="5"/>
      <c r="L32" s="5"/>
    </row>
    <row r="33" spans="1:12" x14ac:dyDescent="0.25">
      <c r="A33" s="4" t="s">
        <v>5</v>
      </c>
      <c r="B33" s="23" t="s">
        <v>358</v>
      </c>
      <c r="C33" s="23"/>
      <c r="D33" s="23"/>
      <c r="E33" s="23"/>
      <c r="F33" s="23"/>
      <c r="G33" s="23"/>
      <c r="H33" s="23"/>
      <c r="I33" s="23"/>
      <c r="J33" s="23"/>
      <c r="K33" s="23"/>
      <c r="L33" s="23"/>
    </row>
    <row r="34" spans="1:12" x14ac:dyDescent="0.25">
      <c r="A34" s="4" t="s">
        <v>4</v>
      </c>
      <c r="B34" s="343" t="s">
        <v>359</v>
      </c>
      <c r="C34" s="23"/>
      <c r="D34" s="23"/>
      <c r="E34" s="23"/>
      <c r="F34" s="23"/>
      <c r="G34" s="23"/>
      <c r="H34" s="23"/>
      <c r="I34" s="23"/>
      <c r="J34" s="23"/>
      <c r="K34" s="23"/>
      <c r="L34" s="23"/>
    </row>
    <row r="35" spans="1:12" x14ac:dyDescent="0.25">
      <c r="A35" s="4" t="s">
        <v>3</v>
      </c>
      <c r="B35" s="23" t="s">
        <v>360</v>
      </c>
      <c r="C35" s="23"/>
      <c r="D35" s="23"/>
      <c r="E35" s="23"/>
      <c r="F35" s="23"/>
      <c r="G35" s="23"/>
      <c r="H35" s="23"/>
      <c r="I35" s="23"/>
      <c r="J35" s="23"/>
      <c r="K35" s="23"/>
      <c r="L35" s="23"/>
    </row>
    <row r="36" spans="1:12" x14ac:dyDescent="0.25">
      <c r="A36" s="4" t="s">
        <v>2</v>
      </c>
      <c r="B36" s="23" t="s">
        <v>361</v>
      </c>
      <c r="C36" s="23"/>
      <c r="D36" s="23"/>
      <c r="E36" s="23"/>
      <c r="F36" s="23"/>
      <c r="G36" s="23"/>
      <c r="H36" s="23"/>
      <c r="I36" s="23"/>
      <c r="J36" s="23"/>
      <c r="K36" s="23"/>
      <c r="L36" s="23"/>
    </row>
    <row r="37" spans="1:12" x14ac:dyDescent="0.25">
      <c r="A37" s="4" t="s">
        <v>1</v>
      </c>
      <c r="B37" s="23" t="s">
        <v>362</v>
      </c>
      <c r="C37" s="23"/>
      <c r="D37" s="23"/>
      <c r="E37" s="23"/>
      <c r="F37" s="23"/>
      <c r="G37" s="23"/>
      <c r="H37" s="23"/>
      <c r="I37" s="23"/>
      <c r="J37" s="23"/>
      <c r="K37" s="23"/>
      <c r="L37" s="250"/>
    </row>
    <row r="38" spans="1:12" x14ac:dyDescent="0.25">
      <c r="A38" s="4" t="s">
        <v>0</v>
      </c>
      <c r="B38" s="23" t="s">
        <v>363</v>
      </c>
      <c r="C38" s="23"/>
      <c r="D38" s="23"/>
      <c r="E38" s="23"/>
      <c r="F38" s="23"/>
      <c r="G38" s="23"/>
      <c r="H38" s="23"/>
      <c r="I38" s="23"/>
      <c r="J38" s="23"/>
      <c r="K38" s="247"/>
      <c r="L38" s="250"/>
    </row>
    <row r="39" spans="1:12" x14ac:dyDescent="0.25">
      <c r="C39" s="215"/>
      <c r="D39" s="215"/>
      <c r="E39" s="215"/>
      <c r="F39" s="215"/>
      <c r="G39" s="215"/>
      <c r="H39" s="215"/>
      <c r="I39" s="215"/>
      <c r="J39" s="215"/>
      <c r="K39" s="215"/>
      <c r="L39" s="215"/>
    </row>
    <row r="40" spans="1:12" x14ac:dyDescent="0.25">
      <c r="B40" s="283" t="s">
        <v>28</v>
      </c>
      <c r="D40" s="215"/>
      <c r="E40" s="215"/>
      <c r="F40" s="215"/>
      <c r="G40" s="215"/>
      <c r="H40" s="215"/>
      <c r="I40" s="215"/>
      <c r="J40" s="215"/>
      <c r="K40" s="215"/>
      <c r="L40" s="215"/>
    </row>
    <row r="41" spans="1:12" x14ac:dyDescent="0.25">
      <c r="A41" s="284" t="s">
        <v>288</v>
      </c>
      <c r="B41" s="344" t="s">
        <v>364</v>
      </c>
      <c r="C41" s="215"/>
      <c r="D41" s="215"/>
      <c r="E41" s="215"/>
      <c r="F41" s="215"/>
      <c r="G41" s="215"/>
      <c r="H41" s="215"/>
      <c r="I41" s="215"/>
      <c r="J41" s="215"/>
      <c r="K41" s="215"/>
      <c r="L41" s="215"/>
    </row>
    <row r="42" spans="1:12" x14ac:dyDescent="0.25">
      <c r="A42" s="284" t="s">
        <v>290</v>
      </c>
      <c r="B42" s="345" t="s">
        <v>365</v>
      </c>
      <c r="C42" s="215"/>
      <c r="D42" s="215"/>
      <c r="E42" s="215"/>
      <c r="F42" s="215"/>
      <c r="G42" s="215"/>
      <c r="H42" s="215"/>
      <c r="I42" s="215"/>
      <c r="J42" s="215"/>
      <c r="K42" s="215"/>
      <c r="L42" s="215"/>
    </row>
    <row r="43" spans="1:12" x14ac:dyDescent="0.25">
      <c r="A43" s="284" t="s">
        <v>292</v>
      </c>
      <c r="B43" s="345" t="s">
        <v>366</v>
      </c>
      <c r="C43" s="215"/>
      <c r="D43" s="215"/>
      <c r="E43" s="215"/>
      <c r="F43" s="215"/>
      <c r="G43" s="215"/>
      <c r="H43" s="215"/>
      <c r="I43" s="215"/>
      <c r="J43" s="215"/>
      <c r="K43" s="215"/>
      <c r="L43" s="215"/>
    </row>
    <row r="44" spans="1:12" x14ac:dyDescent="0.25">
      <c r="A44" s="284" t="s">
        <v>294</v>
      </c>
      <c r="B44" s="285" t="s">
        <v>344</v>
      </c>
      <c r="C44" s="344"/>
    </row>
    <row r="45" spans="1:12" x14ac:dyDescent="0.25">
      <c r="A45" s="284" t="s">
        <v>296</v>
      </c>
      <c r="B45" s="344" t="s">
        <v>346</v>
      </c>
    </row>
    <row r="46" spans="1:12" x14ac:dyDescent="0.25">
      <c r="A46" s="284" t="s">
        <v>298</v>
      </c>
      <c r="B46" s="346" t="s">
        <v>367</v>
      </c>
    </row>
    <row r="47" spans="1:12" x14ac:dyDescent="0.25">
      <c r="A47" s="284" t="s">
        <v>300</v>
      </c>
      <c r="B47" s="346" t="s">
        <v>368</v>
      </c>
    </row>
    <row r="48" spans="1:12" x14ac:dyDescent="0.25">
      <c r="A48" s="347" t="s">
        <v>349</v>
      </c>
      <c r="B48" s="248" t="s">
        <v>315</v>
      </c>
    </row>
  </sheetData>
  <mergeCells count="7">
    <mergeCell ref="B26:L26"/>
    <mergeCell ref="C2:L2"/>
    <mergeCell ref="G3:H3"/>
    <mergeCell ref="I3:J3"/>
    <mergeCell ref="B8:L8"/>
    <mergeCell ref="B10:L10"/>
    <mergeCell ref="B19:L19"/>
  </mergeCells>
  <hyperlinks>
    <hyperlink ref="H1" location="Index" display="Back to Index"/>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M64"/>
  <sheetViews>
    <sheetView showGridLines="0" zoomScale="80" zoomScaleNormal="80" workbookViewId="0">
      <selection activeCell="D29" sqref="D29"/>
    </sheetView>
  </sheetViews>
  <sheetFormatPr defaultRowHeight="15" x14ac:dyDescent="0.25"/>
  <cols>
    <col min="1" max="1" width="3" customWidth="1"/>
    <col min="2" max="2" width="21.5703125" customWidth="1"/>
    <col min="3" max="12" width="7.140625" customWidth="1"/>
  </cols>
  <sheetData>
    <row r="1" spans="2:13" x14ac:dyDescent="0.25">
      <c r="H1" s="355" t="s">
        <v>709</v>
      </c>
    </row>
    <row r="2" spans="2:13" ht="15" customHeight="1" x14ac:dyDescent="0.25">
      <c r="B2" s="357" t="s">
        <v>20</v>
      </c>
      <c r="C2" s="654" t="s">
        <v>373</v>
      </c>
      <c r="D2" s="655"/>
      <c r="E2" s="655"/>
      <c r="F2" s="655"/>
      <c r="G2" s="655"/>
      <c r="H2" s="655"/>
      <c r="I2" s="655"/>
      <c r="J2" s="655"/>
      <c r="K2" s="655"/>
      <c r="L2" s="655"/>
      <c r="M2" s="656"/>
    </row>
    <row r="3" spans="2:13" ht="24" customHeight="1" x14ac:dyDescent="0.25">
      <c r="B3" s="358"/>
      <c r="C3" s="359">
        <v>2015</v>
      </c>
      <c r="D3" s="359">
        <v>2020</v>
      </c>
      <c r="E3" s="359">
        <v>2030</v>
      </c>
      <c r="F3" s="359">
        <v>2040</v>
      </c>
      <c r="G3" s="360">
        <v>2050</v>
      </c>
      <c r="H3" s="657" t="s">
        <v>26</v>
      </c>
      <c r="I3" s="657"/>
      <c r="J3" s="657" t="s">
        <v>25</v>
      </c>
      <c r="K3" s="657"/>
      <c r="L3" s="359" t="s">
        <v>19</v>
      </c>
      <c r="M3" s="359" t="s">
        <v>18</v>
      </c>
    </row>
    <row r="4" spans="2:13" x14ac:dyDescent="0.25">
      <c r="B4" s="358"/>
      <c r="C4" s="359"/>
      <c r="D4" s="359"/>
      <c r="E4" s="359"/>
      <c r="F4" s="359"/>
      <c r="G4" s="360"/>
      <c r="H4" s="359" t="s">
        <v>17</v>
      </c>
      <c r="I4" s="359" t="s">
        <v>16</v>
      </c>
      <c r="J4" s="359" t="s">
        <v>17</v>
      </c>
      <c r="K4" s="359" t="s">
        <v>16</v>
      </c>
      <c r="L4" s="359"/>
      <c r="M4" s="359"/>
    </row>
    <row r="5" spans="2:13" x14ac:dyDescent="0.25">
      <c r="B5" s="361" t="s">
        <v>15</v>
      </c>
      <c r="C5" s="362"/>
      <c r="D5" s="362"/>
      <c r="E5" s="362"/>
      <c r="F5" s="362"/>
      <c r="G5" s="362"/>
      <c r="H5" s="363"/>
      <c r="I5" s="362"/>
      <c r="J5" s="362"/>
      <c r="K5" s="362"/>
      <c r="L5" s="364"/>
      <c r="M5" s="365"/>
    </row>
    <row r="6" spans="2:13" ht="23.25" x14ac:dyDescent="0.25">
      <c r="B6" s="366" t="s">
        <v>374</v>
      </c>
      <c r="C6" s="358">
        <v>100</v>
      </c>
      <c r="D6" s="358">
        <v>100</v>
      </c>
      <c r="E6" s="358">
        <v>100</v>
      </c>
      <c r="F6" s="358">
        <v>100</v>
      </c>
      <c r="G6" s="367">
        <v>100</v>
      </c>
      <c r="H6" s="368">
        <v>0.5</v>
      </c>
      <c r="I6" s="368">
        <v>2</v>
      </c>
      <c r="J6" s="368">
        <v>0.5</v>
      </c>
      <c r="K6" s="368">
        <v>2</v>
      </c>
      <c r="L6" s="369" t="s">
        <v>5</v>
      </c>
      <c r="M6" s="369">
        <v>1</v>
      </c>
    </row>
    <row r="7" spans="2:13" ht="23.25" x14ac:dyDescent="0.25">
      <c r="B7" s="370" t="s">
        <v>728</v>
      </c>
      <c r="C7" s="371">
        <v>125</v>
      </c>
      <c r="D7" s="371">
        <v>125</v>
      </c>
      <c r="E7" s="371">
        <v>125</v>
      </c>
      <c r="F7" s="371">
        <v>125</v>
      </c>
      <c r="G7" s="372">
        <v>125</v>
      </c>
      <c r="H7" s="373">
        <v>0.5</v>
      </c>
      <c r="I7" s="373">
        <v>2</v>
      </c>
      <c r="J7" s="373">
        <v>0.5</v>
      </c>
      <c r="K7" s="373">
        <v>2</v>
      </c>
      <c r="L7" s="374" t="s">
        <v>375</v>
      </c>
      <c r="M7" s="374"/>
    </row>
    <row r="8" spans="2:13" x14ac:dyDescent="0.25">
      <c r="B8" s="375" t="s">
        <v>249</v>
      </c>
      <c r="C8" s="376"/>
      <c r="D8" s="376"/>
      <c r="E8" s="376"/>
      <c r="F8" s="376"/>
      <c r="G8" s="376"/>
      <c r="H8" s="367"/>
      <c r="I8" s="376"/>
      <c r="J8" s="376"/>
      <c r="K8" s="376"/>
      <c r="L8" s="377"/>
      <c r="M8" s="378"/>
    </row>
    <row r="9" spans="2:13" ht="23.25" x14ac:dyDescent="0.25">
      <c r="B9" s="379" t="s">
        <v>377</v>
      </c>
      <c r="C9" s="380">
        <v>0.92500000000000004</v>
      </c>
      <c r="D9" s="380">
        <v>0.92600000000000005</v>
      </c>
      <c r="E9" s="380">
        <v>0.92900000000000005</v>
      </c>
      <c r="F9" s="380">
        <v>0.93100000000000005</v>
      </c>
      <c r="G9" s="381">
        <v>0.93300000000000005</v>
      </c>
      <c r="H9" s="382">
        <v>0.99</v>
      </c>
      <c r="I9" s="382">
        <v>1.01</v>
      </c>
      <c r="J9" s="382">
        <v>0.99</v>
      </c>
      <c r="K9" s="382">
        <v>1.01</v>
      </c>
      <c r="L9" s="383" t="s">
        <v>378</v>
      </c>
      <c r="M9" s="383">
        <v>4</v>
      </c>
    </row>
    <row r="10" spans="2:13" ht="23.25" x14ac:dyDescent="0.25">
      <c r="B10" s="366" t="s">
        <v>379</v>
      </c>
      <c r="C10" s="358">
        <v>4.5999999999999999E-2</v>
      </c>
      <c r="D10" s="358">
        <v>4.5999999999999999E-2</v>
      </c>
      <c r="E10" s="358">
        <v>4.5999999999999999E-2</v>
      </c>
      <c r="F10" s="358">
        <v>4.5999999999999999E-2</v>
      </c>
      <c r="G10" s="367">
        <v>4.5999999999999999E-2</v>
      </c>
      <c r="H10" s="384">
        <v>0.93</v>
      </c>
      <c r="I10" s="384">
        <v>1.07</v>
      </c>
      <c r="J10" s="384">
        <v>0.93</v>
      </c>
      <c r="K10" s="384">
        <v>1.07</v>
      </c>
      <c r="L10" s="369" t="s">
        <v>380</v>
      </c>
      <c r="M10" s="369">
        <v>4</v>
      </c>
    </row>
    <row r="11" spans="2:13" ht="23.25" x14ac:dyDescent="0.25">
      <c r="B11" s="366" t="s">
        <v>381</v>
      </c>
      <c r="C11" s="358">
        <v>4.0000000000000001E-3</v>
      </c>
      <c r="D11" s="358">
        <v>4.0000000000000001E-3</v>
      </c>
      <c r="E11" s="358">
        <v>3.0000000000000001E-3</v>
      </c>
      <c r="F11" s="385">
        <v>2.5000000000000001E-3</v>
      </c>
      <c r="G11" s="367">
        <v>2E-3</v>
      </c>
      <c r="H11" s="384">
        <v>0.5</v>
      </c>
      <c r="I11" s="384">
        <v>1.5</v>
      </c>
      <c r="J11" s="384">
        <v>0.75</v>
      </c>
      <c r="K11" s="384">
        <v>1.25</v>
      </c>
      <c r="L11" s="369" t="s">
        <v>378</v>
      </c>
      <c r="M11" s="369">
        <v>4</v>
      </c>
    </row>
    <row r="12" spans="2:13" ht="23.25" x14ac:dyDescent="0.25">
      <c r="B12" s="366" t="s">
        <v>382</v>
      </c>
      <c r="C12" s="358">
        <v>2.5000000000000001E-2</v>
      </c>
      <c r="D12" s="358">
        <v>2.4E-2</v>
      </c>
      <c r="E12" s="358">
        <v>2.1999999999999999E-2</v>
      </c>
      <c r="F12" s="358">
        <v>0.02</v>
      </c>
      <c r="G12" s="367">
        <v>1.7999999999999999E-2</v>
      </c>
      <c r="H12" s="384">
        <v>0.5</v>
      </c>
      <c r="I12" s="384">
        <v>1.5</v>
      </c>
      <c r="J12" s="384">
        <v>0.75</v>
      </c>
      <c r="K12" s="384">
        <v>1.25</v>
      </c>
      <c r="L12" s="369" t="s">
        <v>378</v>
      </c>
      <c r="M12" s="369">
        <v>4</v>
      </c>
    </row>
    <row r="13" spans="2:13" x14ac:dyDescent="0.25">
      <c r="B13" s="386" t="s">
        <v>253</v>
      </c>
      <c r="C13" s="358"/>
      <c r="D13" s="358"/>
      <c r="E13" s="358"/>
      <c r="F13" s="358"/>
      <c r="G13" s="367"/>
      <c r="H13" s="358"/>
      <c r="I13" s="358"/>
      <c r="J13" s="358"/>
      <c r="K13" s="358"/>
      <c r="L13" s="369"/>
      <c r="M13" s="369"/>
    </row>
    <row r="14" spans="2:13" ht="23.25" x14ac:dyDescent="0.25">
      <c r="B14" s="366" t="s">
        <v>383</v>
      </c>
      <c r="C14" s="358">
        <v>0.90300000000000002</v>
      </c>
      <c r="D14" s="358">
        <v>0.90300000000000002</v>
      </c>
      <c r="E14" s="358">
        <v>0.90300000000000002</v>
      </c>
      <c r="F14" s="358">
        <v>0.90300000000000002</v>
      </c>
      <c r="G14" s="367">
        <v>0.90300000000000002</v>
      </c>
      <c r="H14" s="384">
        <v>0.99</v>
      </c>
      <c r="I14" s="384">
        <v>1.01</v>
      </c>
      <c r="J14" s="384">
        <v>0.99</v>
      </c>
      <c r="K14" s="384">
        <v>1.01</v>
      </c>
      <c r="L14" s="369" t="s">
        <v>0</v>
      </c>
      <c r="M14" s="369">
        <v>4</v>
      </c>
    </row>
    <row r="15" spans="2:13" ht="23.25" x14ac:dyDescent="0.25">
      <c r="B15" s="366" t="s">
        <v>384</v>
      </c>
      <c r="C15" s="358">
        <v>3.9E-2</v>
      </c>
      <c r="D15" s="358">
        <v>3.9E-2</v>
      </c>
      <c r="E15" s="358">
        <v>3.9E-2</v>
      </c>
      <c r="F15" s="358">
        <v>3.9E-2</v>
      </c>
      <c r="G15" s="367">
        <v>3.9E-2</v>
      </c>
      <c r="H15" s="384">
        <v>0.99</v>
      </c>
      <c r="I15" s="384">
        <v>1.01</v>
      </c>
      <c r="J15" s="384">
        <v>0.99</v>
      </c>
      <c r="K15" s="384">
        <v>1.01</v>
      </c>
      <c r="L15" s="369" t="s">
        <v>0</v>
      </c>
      <c r="M15" s="369">
        <v>4</v>
      </c>
    </row>
    <row r="16" spans="2:13" x14ac:dyDescent="0.25">
      <c r="B16" s="375"/>
      <c r="C16" s="376"/>
      <c r="D16" s="376"/>
      <c r="E16" s="376"/>
      <c r="F16" s="376"/>
      <c r="G16" s="376"/>
      <c r="H16" s="367"/>
      <c r="I16" s="376"/>
      <c r="J16" s="376"/>
      <c r="K16" s="376"/>
      <c r="L16" s="377"/>
      <c r="M16" s="378"/>
    </row>
    <row r="17" spans="2:13" x14ac:dyDescent="0.25">
      <c r="B17" s="366" t="s">
        <v>100</v>
      </c>
      <c r="C17" s="358">
        <v>0</v>
      </c>
      <c r="D17" s="358">
        <v>0</v>
      </c>
      <c r="E17" s="358">
        <v>0</v>
      </c>
      <c r="F17" s="358">
        <v>0</v>
      </c>
      <c r="G17" s="367">
        <v>0</v>
      </c>
      <c r="H17" s="358"/>
      <c r="I17" s="358"/>
      <c r="J17" s="358"/>
      <c r="K17" s="358"/>
      <c r="L17" s="369" t="s">
        <v>42</v>
      </c>
      <c r="M17" s="369"/>
    </row>
    <row r="18" spans="2:13" ht="23.25" x14ac:dyDescent="0.25">
      <c r="B18" s="366" t="s">
        <v>24</v>
      </c>
      <c r="C18" s="387">
        <v>2</v>
      </c>
      <c r="D18" s="387">
        <v>2</v>
      </c>
      <c r="E18" s="387">
        <v>2</v>
      </c>
      <c r="F18" s="387">
        <v>2</v>
      </c>
      <c r="G18" s="388">
        <v>2</v>
      </c>
      <c r="H18" s="358"/>
      <c r="I18" s="358"/>
      <c r="J18" s="358"/>
      <c r="K18" s="369"/>
      <c r="L18" s="369"/>
      <c r="M18" s="358"/>
    </row>
    <row r="19" spans="2:13" x14ac:dyDescent="0.25">
      <c r="B19" s="366" t="s">
        <v>14</v>
      </c>
      <c r="C19" s="387">
        <v>25</v>
      </c>
      <c r="D19" s="387">
        <v>25</v>
      </c>
      <c r="E19" s="387">
        <v>25</v>
      </c>
      <c r="F19" s="387">
        <v>25</v>
      </c>
      <c r="G19" s="388">
        <v>25</v>
      </c>
      <c r="H19" s="358"/>
      <c r="I19" s="358"/>
      <c r="J19" s="358"/>
      <c r="K19" s="369"/>
      <c r="L19" s="369"/>
      <c r="M19" s="358"/>
    </row>
    <row r="20" spans="2:13" x14ac:dyDescent="0.25">
      <c r="B20" s="366" t="s">
        <v>12</v>
      </c>
      <c r="C20" s="387">
        <v>1.5</v>
      </c>
      <c r="D20" s="387">
        <v>1.5</v>
      </c>
      <c r="E20" s="387">
        <v>1.5</v>
      </c>
      <c r="F20" s="387">
        <v>1.5</v>
      </c>
      <c r="G20" s="388">
        <v>1.5</v>
      </c>
      <c r="H20" s="358"/>
      <c r="I20" s="358"/>
      <c r="J20" s="358"/>
      <c r="K20" s="369"/>
      <c r="L20" s="369"/>
      <c r="M20" s="358"/>
    </row>
    <row r="21" spans="2:13" x14ac:dyDescent="0.25">
      <c r="B21" s="375" t="s">
        <v>9</v>
      </c>
      <c r="C21" s="376"/>
      <c r="D21" s="376"/>
      <c r="E21" s="376"/>
      <c r="F21" s="376"/>
      <c r="G21" s="376"/>
      <c r="H21" s="367"/>
      <c r="I21" s="376"/>
      <c r="J21" s="376"/>
      <c r="K21" s="376"/>
      <c r="L21" s="377"/>
      <c r="M21" s="378"/>
    </row>
    <row r="22" spans="2:13" ht="23.25" x14ac:dyDescent="0.25">
      <c r="B22" s="366" t="s">
        <v>729</v>
      </c>
      <c r="C22" s="389">
        <f>C31/1.25</f>
        <v>0.51200000000000001</v>
      </c>
      <c r="D22" s="389">
        <f t="shared" ref="D22:E22" si="0">D31/1.25</f>
        <v>0.504</v>
      </c>
      <c r="E22" s="389">
        <f t="shared" si="0"/>
        <v>0.496</v>
      </c>
      <c r="F22" s="389">
        <v>0.49</v>
      </c>
      <c r="G22" s="390">
        <f>G31/1.25</f>
        <v>0.48</v>
      </c>
      <c r="H22" s="384">
        <v>0.9</v>
      </c>
      <c r="I22" s="384">
        <v>1.1000000000000001</v>
      </c>
      <c r="J22" s="384">
        <v>0.9</v>
      </c>
      <c r="K22" s="384">
        <v>1.1000000000000001</v>
      </c>
      <c r="L22" s="369" t="s">
        <v>386</v>
      </c>
      <c r="M22" s="369"/>
    </row>
    <row r="23" spans="2:13" x14ac:dyDescent="0.25">
      <c r="B23" s="366" t="s">
        <v>387</v>
      </c>
      <c r="C23" s="391" t="s">
        <v>388</v>
      </c>
      <c r="D23" s="358">
        <v>75</v>
      </c>
      <c r="E23" s="358">
        <v>75</v>
      </c>
      <c r="F23" s="358">
        <v>75</v>
      </c>
      <c r="G23" s="367">
        <v>75</v>
      </c>
      <c r="H23" s="358"/>
      <c r="I23" s="358"/>
      <c r="J23" s="358"/>
      <c r="K23" s="358"/>
      <c r="L23" s="369" t="s">
        <v>41</v>
      </c>
      <c r="M23" s="369"/>
    </row>
    <row r="24" spans="2:13" x14ac:dyDescent="0.25">
      <c r="B24" s="366" t="s">
        <v>389</v>
      </c>
      <c r="C24" s="391" t="s">
        <v>390</v>
      </c>
      <c r="D24" s="358">
        <v>25</v>
      </c>
      <c r="E24" s="358">
        <v>25</v>
      </c>
      <c r="F24" s="358">
        <v>25</v>
      </c>
      <c r="G24" s="367">
        <v>25</v>
      </c>
      <c r="H24" s="358"/>
      <c r="I24" s="358"/>
      <c r="J24" s="358"/>
      <c r="K24" s="358"/>
      <c r="L24" s="369" t="s">
        <v>41</v>
      </c>
      <c r="M24" s="369"/>
    </row>
    <row r="25" spans="2:13" x14ac:dyDescent="0.25">
      <c r="B25" s="366" t="s">
        <v>730</v>
      </c>
      <c r="C25" s="385">
        <v>1.7600000000000001E-2</v>
      </c>
      <c r="D25" s="385">
        <v>1.7600000000000001E-2</v>
      </c>
      <c r="E25" s="385">
        <v>1.7600000000000001E-2</v>
      </c>
      <c r="F25" s="385">
        <v>1.7600000000000001E-2</v>
      </c>
      <c r="G25" s="392">
        <v>1.7600000000000001E-2</v>
      </c>
      <c r="H25" s="384">
        <v>0.9</v>
      </c>
      <c r="I25" s="384">
        <v>1.1000000000000001</v>
      </c>
      <c r="J25" s="384">
        <v>0.9</v>
      </c>
      <c r="K25" s="384">
        <v>1.1000000000000001</v>
      </c>
      <c r="L25" s="369" t="s">
        <v>392</v>
      </c>
      <c r="M25" s="369"/>
    </row>
    <row r="26" spans="2:13" x14ac:dyDescent="0.25">
      <c r="B26" s="366" t="s">
        <v>731</v>
      </c>
      <c r="C26" s="389">
        <v>6.77</v>
      </c>
      <c r="D26" s="389">
        <v>6.77</v>
      </c>
      <c r="E26" s="389">
        <v>6.77</v>
      </c>
      <c r="F26" s="389">
        <v>6.77</v>
      </c>
      <c r="G26" s="390">
        <v>6.77</v>
      </c>
      <c r="H26" s="384">
        <v>0.9</v>
      </c>
      <c r="I26" s="384">
        <v>1.1000000000000001</v>
      </c>
      <c r="J26" s="384">
        <v>0.9</v>
      </c>
      <c r="K26" s="384">
        <v>1.1000000000000001</v>
      </c>
      <c r="L26" s="369" t="s">
        <v>392</v>
      </c>
      <c r="M26" s="369"/>
    </row>
    <row r="27" spans="2:13" x14ac:dyDescent="0.25">
      <c r="B27" s="366" t="s">
        <v>732</v>
      </c>
      <c r="C27" s="358">
        <v>0</v>
      </c>
      <c r="D27" s="358">
        <v>0</v>
      </c>
      <c r="E27" s="358">
        <v>0</v>
      </c>
      <c r="F27" s="358">
        <v>0</v>
      </c>
      <c r="G27" s="367">
        <v>0</v>
      </c>
      <c r="H27" s="358"/>
      <c r="I27" s="358"/>
      <c r="J27" s="358"/>
      <c r="K27" s="358"/>
      <c r="L27" s="369"/>
      <c r="M27" s="369"/>
    </row>
    <row r="28" spans="2:13" x14ac:dyDescent="0.25">
      <c r="B28" s="375" t="s">
        <v>268</v>
      </c>
      <c r="C28" s="376"/>
      <c r="D28" s="376"/>
      <c r="E28" s="376"/>
      <c r="F28" s="376"/>
      <c r="G28" s="376"/>
      <c r="H28" s="367"/>
      <c r="I28" s="376"/>
      <c r="J28" s="376"/>
      <c r="K28" s="376"/>
      <c r="L28" s="377"/>
      <c r="M28" s="378"/>
    </row>
    <row r="29" spans="2:13" ht="23.25" x14ac:dyDescent="0.25">
      <c r="B29" s="366" t="s">
        <v>394</v>
      </c>
      <c r="C29" s="387">
        <v>37.200000000000003</v>
      </c>
      <c r="D29" s="387">
        <v>37.200000000000003</v>
      </c>
      <c r="E29" s="387">
        <v>37.200000000000003</v>
      </c>
      <c r="F29" s="387">
        <v>37.200000000000003</v>
      </c>
      <c r="G29" s="388">
        <v>37.200000000000003</v>
      </c>
      <c r="H29" s="358"/>
      <c r="I29" s="358"/>
      <c r="J29" s="358"/>
      <c r="K29" s="369"/>
      <c r="L29" s="369"/>
      <c r="M29" s="358"/>
    </row>
    <row r="30" spans="2:13" ht="23.25" x14ac:dyDescent="0.25">
      <c r="B30" s="366" t="s">
        <v>733</v>
      </c>
      <c r="C30" s="387">
        <v>0.88500000000000001</v>
      </c>
      <c r="D30" s="387">
        <v>0.88500000000000001</v>
      </c>
      <c r="E30" s="387">
        <v>0.88500000000000001</v>
      </c>
      <c r="F30" s="387">
        <v>0.88500000000000001</v>
      </c>
      <c r="G30" s="388">
        <v>0.88500000000000001</v>
      </c>
      <c r="H30" s="358"/>
      <c r="I30" s="358"/>
      <c r="J30" s="358"/>
      <c r="K30" s="358"/>
      <c r="L30" s="358"/>
      <c r="M30" s="358"/>
    </row>
    <row r="31" spans="2:13" ht="23.25" x14ac:dyDescent="0.25">
      <c r="B31" s="366" t="s">
        <v>385</v>
      </c>
      <c r="C31" s="391">
        <v>0.64</v>
      </c>
      <c r="D31" s="358">
        <v>0.63</v>
      </c>
      <c r="E31" s="358">
        <v>0.62</v>
      </c>
      <c r="F31" s="358">
        <v>0.61</v>
      </c>
      <c r="G31" s="390">
        <v>0.6</v>
      </c>
      <c r="H31" s="384">
        <v>0.9</v>
      </c>
      <c r="I31" s="384">
        <v>1.1000000000000001</v>
      </c>
      <c r="J31" s="384">
        <v>0.9</v>
      </c>
      <c r="K31" s="384">
        <v>1.1000000000000001</v>
      </c>
      <c r="L31" s="369" t="s">
        <v>734</v>
      </c>
      <c r="M31" s="369"/>
    </row>
    <row r="32" spans="2:13" x14ac:dyDescent="0.25">
      <c r="B32" s="366" t="s">
        <v>387</v>
      </c>
      <c r="C32" s="391" t="s">
        <v>388</v>
      </c>
      <c r="D32" s="358">
        <v>75</v>
      </c>
      <c r="E32" s="358">
        <v>75</v>
      </c>
      <c r="F32" s="358">
        <v>75</v>
      </c>
      <c r="G32" s="367">
        <v>75</v>
      </c>
      <c r="H32" s="358"/>
      <c r="I32" s="358"/>
      <c r="J32" s="358"/>
      <c r="K32" s="358"/>
      <c r="L32" s="369" t="s">
        <v>41</v>
      </c>
      <c r="M32" s="369"/>
    </row>
    <row r="33" spans="2:13" x14ac:dyDescent="0.25">
      <c r="B33" s="366" t="s">
        <v>389</v>
      </c>
      <c r="C33" s="391" t="s">
        <v>390</v>
      </c>
      <c r="D33" s="358">
        <v>25</v>
      </c>
      <c r="E33" s="358">
        <v>25</v>
      </c>
      <c r="F33" s="358">
        <v>25</v>
      </c>
      <c r="G33" s="367">
        <v>25</v>
      </c>
      <c r="H33" s="358"/>
      <c r="I33" s="358"/>
      <c r="J33" s="358"/>
      <c r="K33" s="358"/>
      <c r="L33" s="369" t="s">
        <v>41</v>
      </c>
      <c r="M33" s="369"/>
    </row>
    <row r="34" spans="2:13" ht="23.25" x14ac:dyDescent="0.25">
      <c r="B34" s="366" t="s">
        <v>391</v>
      </c>
      <c r="C34" s="385">
        <v>2.1999999999999999E-2</v>
      </c>
      <c r="D34" s="385">
        <v>2.1999999999999999E-2</v>
      </c>
      <c r="E34" s="385">
        <v>2.1999999999999999E-2</v>
      </c>
      <c r="F34" s="385">
        <v>2.1999999999999999E-2</v>
      </c>
      <c r="G34" s="392">
        <v>2.1999999999999999E-2</v>
      </c>
      <c r="H34" s="384">
        <v>0.9</v>
      </c>
      <c r="I34" s="384">
        <v>1.1000000000000001</v>
      </c>
      <c r="J34" s="384">
        <v>0.9</v>
      </c>
      <c r="K34" s="384">
        <v>1.1000000000000001</v>
      </c>
      <c r="L34" s="369" t="s">
        <v>392</v>
      </c>
      <c r="M34" s="369"/>
    </row>
    <row r="35" spans="2:13" ht="23.25" x14ac:dyDescent="0.25">
      <c r="B35" s="366" t="s">
        <v>393</v>
      </c>
      <c r="C35" s="385">
        <v>7.0000000000000007E-2</v>
      </c>
      <c r="D35" s="385">
        <v>7.0000000000000007E-2</v>
      </c>
      <c r="E35" s="385">
        <v>7.0000000000000007E-2</v>
      </c>
      <c r="F35" s="385">
        <v>7.0000000000000007E-2</v>
      </c>
      <c r="G35" s="392">
        <v>7.0000000000000007E-2</v>
      </c>
      <c r="H35" s="384">
        <v>0.9</v>
      </c>
      <c r="I35" s="384">
        <v>1.1000000000000001</v>
      </c>
      <c r="J35" s="384">
        <v>0.9</v>
      </c>
      <c r="K35" s="384">
        <v>1.1000000000000001</v>
      </c>
      <c r="L35" s="369" t="s">
        <v>392</v>
      </c>
      <c r="M35" s="369"/>
    </row>
    <row r="38" spans="2:13" x14ac:dyDescent="0.25">
      <c r="B38" s="350" t="s">
        <v>6</v>
      </c>
    </row>
    <row r="39" spans="2:13" x14ac:dyDescent="0.25">
      <c r="B39" s="349" t="s">
        <v>395</v>
      </c>
    </row>
    <row r="40" spans="2:13" x14ac:dyDescent="0.25">
      <c r="B40" s="349" t="s">
        <v>396</v>
      </c>
    </row>
    <row r="41" spans="2:13" x14ac:dyDescent="0.25">
      <c r="B41" s="349" t="s">
        <v>397</v>
      </c>
    </row>
    <row r="42" spans="2:13" x14ac:dyDescent="0.25">
      <c r="B42" s="349" t="s">
        <v>398</v>
      </c>
    </row>
    <row r="43" spans="2:13" x14ac:dyDescent="0.25">
      <c r="B43" s="349" t="s">
        <v>399</v>
      </c>
    </row>
    <row r="44" spans="2:13" x14ac:dyDescent="0.25">
      <c r="B44" s="349" t="s">
        <v>400</v>
      </c>
    </row>
    <row r="45" spans="2:13" x14ac:dyDescent="0.25">
      <c r="B45" s="349" t="s">
        <v>401</v>
      </c>
    </row>
    <row r="46" spans="2:13" x14ac:dyDescent="0.25">
      <c r="B46" s="349" t="s">
        <v>402</v>
      </c>
    </row>
    <row r="47" spans="2:13" x14ac:dyDescent="0.25">
      <c r="B47" s="349" t="s">
        <v>403</v>
      </c>
    </row>
    <row r="48" spans="2:13" x14ac:dyDescent="0.25">
      <c r="B48" s="349" t="s">
        <v>404</v>
      </c>
    </row>
    <row r="49" spans="2:2" x14ac:dyDescent="0.25">
      <c r="B49" s="349" t="s">
        <v>405</v>
      </c>
    </row>
    <row r="50" spans="2:2" x14ac:dyDescent="0.25">
      <c r="B50" s="349" t="s">
        <v>406</v>
      </c>
    </row>
    <row r="51" spans="2:2" x14ac:dyDescent="0.25">
      <c r="B51" s="349" t="s">
        <v>407</v>
      </c>
    </row>
    <row r="53" spans="2:2" x14ac:dyDescent="0.25">
      <c r="B53" s="350" t="s">
        <v>408</v>
      </c>
    </row>
    <row r="54" spans="2:2" x14ac:dyDescent="0.25">
      <c r="B54" s="349" t="s">
        <v>700</v>
      </c>
    </row>
    <row r="55" spans="2:2" x14ac:dyDescent="0.25">
      <c r="B55" s="349" t="s">
        <v>409</v>
      </c>
    </row>
    <row r="56" spans="2:2" x14ac:dyDescent="0.25">
      <c r="B56" s="349" t="s">
        <v>410</v>
      </c>
    </row>
    <row r="57" spans="2:2" x14ac:dyDescent="0.25">
      <c r="B57" s="349" t="s">
        <v>411</v>
      </c>
    </row>
    <row r="58" spans="2:2" x14ac:dyDescent="0.25">
      <c r="B58" s="349" t="s">
        <v>412</v>
      </c>
    </row>
    <row r="59" spans="2:2" x14ac:dyDescent="0.25">
      <c r="B59" s="349" t="s">
        <v>413</v>
      </c>
    </row>
    <row r="60" spans="2:2" x14ac:dyDescent="0.25">
      <c r="B60" s="349" t="s">
        <v>414</v>
      </c>
    </row>
    <row r="61" spans="2:2" x14ac:dyDescent="0.25">
      <c r="B61" s="349" t="s">
        <v>415</v>
      </c>
    </row>
    <row r="62" spans="2:2" x14ac:dyDescent="0.25">
      <c r="B62" s="349" t="s">
        <v>416</v>
      </c>
    </row>
    <row r="63" spans="2:2" x14ac:dyDescent="0.25">
      <c r="B63" s="349" t="s">
        <v>417</v>
      </c>
    </row>
    <row r="64" spans="2:2" x14ac:dyDescent="0.25">
      <c r="B64" s="349" t="s">
        <v>418</v>
      </c>
    </row>
  </sheetData>
  <mergeCells count="3">
    <mergeCell ref="C2:M2"/>
    <mergeCell ref="H3:I3"/>
    <mergeCell ref="J3:K3"/>
  </mergeCells>
  <hyperlinks>
    <hyperlink ref="B55" r:id="rId1" display="https://www.iisd.org/gsi/sites/default/files/bf_awc_germany.pdf"/>
    <hyperlink ref="B56" r:id="rId2" display="http://www.desmetballestra.com/images/PDF-Brochures-2014/Biodiesel2015.pdf"/>
    <hyperlink ref="B57" r:id="rId3" display="http://www.eia.gov/cfapps/ipdbproject/IEDIndex3.cfm?tid=79&amp;pid=79&amp;aid=1"/>
    <hyperlink ref="B58" r:id="rId4" display="https://ens.dk/sites/ens.dk/files/Statistik/energy_statistics_2015.pdf"/>
    <hyperlink ref="B59" r:id="rId5" display="http://task39.sites.olt.ubc.ca/files/2015/06/IEA-Bioenergy-Task-39-Newsletter-Issue-39-May-2015-final.pdf"/>
    <hyperlink ref="B60" r:id="rId6" display="https://doi.org/10.1016/j.biortech.2017.12.031"/>
    <hyperlink ref="B61" r:id="rId7" display="https://www.cargill.com/2017/cargill-to-build-state-of-the-art-biodiesel-plant-in-wichita-ks"/>
    <hyperlink ref="B62" r:id="rId8" display="http://www.irena.org/-/media/Files/IRENA/Agency/Publication/2013/Road_Transport.ashx"/>
    <hyperlink ref="B63" r:id="rId9" display="http://task39.sites.olt.ubc.ca/files/2013/05/Technological-learning-in-the-German-Biodiesel-Industry.pdf"/>
    <hyperlink ref="B64" r:id="rId10" display="http://www.extension.iastate.edu/agdm/energy/xls/d1-15biodieselprofitability.xlsx"/>
    <hyperlink ref="H1" location="Index" display="Back to Index"/>
  </hyperlinks>
  <pageMargins left="0.7" right="0.7" top="0.75" bottom="0.75" header="0.3" footer="0.3"/>
  <pageSetup paperSize="9" orientation="portrait" r:id="rId1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M63"/>
  <sheetViews>
    <sheetView showGridLines="0" workbookViewId="0">
      <selection activeCell="D15" sqref="D15"/>
    </sheetView>
  </sheetViews>
  <sheetFormatPr defaultRowHeight="15" x14ac:dyDescent="0.25"/>
  <cols>
    <col min="1" max="1" width="3.140625" customWidth="1"/>
    <col min="2" max="2" width="25" customWidth="1"/>
    <col min="3" max="12" width="6.42578125" customWidth="1"/>
  </cols>
  <sheetData>
    <row r="1" spans="2:13" x14ac:dyDescent="0.25">
      <c r="H1" s="355" t="s">
        <v>709</v>
      </c>
    </row>
    <row r="2" spans="2:13" ht="15" customHeight="1" x14ac:dyDescent="0.25">
      <c r="B2" s="393" t="s">
        <v>20</v>
      </c>
      <c r="C2" s="658" t="s">
        <v>735</v>
      </c>
      <c r="D2" s="658"/>
      <c r="E2" s="658"/>
      <c r="F2" s="658"/>
      <c r="G2" s="658"/>
      <c r="H2" s="658"/>
      <c r="I2" s="658"/>
      <c r="J2" s="658"/>
      <c r="K2" s="658"/>
      <c r="L2" s="658"/>
      <c r="M2" s="658"/>
    </row>
    <row r="3" spans="2:13" ht="22.5" customHeight="1" x14ac:dyDescent="0.25">
      <c r="B3" s="393"/>
      <c r="C3" s="393">
        <v>2015</v>
      </c>
      <c r="D3" s="393">
        <v>2020</v>
      </c>
      <c r="E3" s="393">
        <v>2030</v>
      </c>
      <c r="F3" s="393">
        <v>2040</v>
      </c>
      <c r="G3" s="393">
        <v>2050</v>
      </c>
      <c r="H3" s="658" t="s">
        <v>26</v>
      </c>
      <c r="I3" s="658"/>
      <c r="J3" s="658" t="s">
        <v>25</v>
      </c>
      <c r="K3" s="658"/>
      <c r="L3" s="394" t="s">
        <v>19</v>
      </c>
      <c r="M3" s="394" t="s">
        <v>18</v>
      </c>
    </row>
    <row r="4" spans="2:13" x14ac:dyDescent="0.25">
      <c r="B4" s="395"/>
      <c r="C4" s="395"/>
      <c r="D4" s="395"/>
      <c r="E4" s="395"/>
      <c r="F4" s="395"/>
      <c r="G4" s="395"/>
      <c r="H4" s="396" t="s">
        <v>17</v>
      </c>
      <c r="I4" s="396" t="s">
        <v>16</v>
      </c>
      <c r="J4" s="396" t="s">
        <v>17</v>
      </c>
      <c r="K4" s="396" t="s">
        <v>16</v>
      </c>
      <c r="L4" s="396"/>
      <c r="M4" s="396"/>
    </row>
    <row r="5" spans="2:13" x14ac:dyDescent="0.25">
      <c r="B5" s="397" t="s">
        <v>15</v>
      </c>
      <c r="C5" s="398"/>
      <c r="D5" s="398"/>
      <c r="E5" s="398"/>
      <c r="F5" s="398"/>
      <c r="G5" s="398"/>
      <c r="H5" s="398"/>
      <c r="I5" s="398"/>
      <c r="J5" s="398"/>
      <c r="K5" s="398"/>
      <c r="L5" s="399"/>
      <c r="M5" s="400"/>
    </row>
    <row r="6" spans="2:13" ht="23.25" x14ac:dyDescent="0.25">
      <c r="B6" s="401" t="s">
        <v>374</v>
      </c>
      <c r="C6" s="402">
        <v>50</v>
      </c>
      <c r="D6" s="402">
        <v>50</v>
      </c>
      <c r="E6" s="402">
        <v>50</v>
      </c>
      <c r="F6" s="402">
        <v>50</v>
      </c>
      <c r="G6" s="402">
        <v>50</v>
      </c>
      <c r="H6" s="403">
        <v>0.5</v>
      </c>
      <c r="I6" s="403">
        <v>2</v>
      </c>
      <c r="J6" s="403">
        <v>0.5</v>
      </c>
      <c r="K6" s="403">
        <v>2</v>
      </c>
      <c r="L6" s="404" t="s">
        <v>5</v>
      </c>
      <c r="M6" s="404">
        <v>1</v>
      </c>
    </row>
    <row r="7" spans="2:13" ht="23.25" x14ac:dyDescent="0.25">
      <c r="B7" s="405" t="s">
        <v>736</v>
      </c>
      <c r="C7" s="406">
        <v>60</v>
      </c>
      <c r="D7" s="406">
        <v>60</v>
      </c>
      <c r="E7" s="406">
        <v>60</v>
      </c>
      <c r="F7" s="406">
        <v>60</v>
      </c>
      <c r="G7" s="406">
        <v>60</v>
      </c>
      <c r="H7" s="407">
        <v>0.5</v>
      </c>
      <c r="I7" s="407">
        <v>2</v>
      </c>
      <c r="J7" s="407">
        <v>0.5</v>
      </c>
      <c r="K7" s="407">
        <v>2</v>
      </c>
      <c r="L7" s="408" t="s">
        <v>375</v>
      </c>
      <c r="M7" s="408"/>
    </row>
    <row r="8" spans="2:13" x14ac:dyDescent="0.25">
      <c r="B8" s="397" t="s">
        <v>376</v>
      </c>
      <c r="C8" s="398"/>
      <c r="D8" s="398"/>
      <c r="E8" s="398"/>
      <c r="F8" s="398"/>
      <c r="G8" s="398"/>
      <c r="H8" s="398"/>
      <c r="I8" s="398"/>
      <c r="J8" s="398"/>
      <c r="K8" s="398"/>
      <c r="L8" s="399"/>
      <c r="M8" s="400"/>
    </row>
    <row r="9" spans="2:13" ht="23.25" x14ac:dyDescent="0.25">
      <c r="B9" s="405" t="s">
        <v>377</v>
      </c>
      <c r="C9" s="406">
        <v>0.90600000000000003</v>
      </c>
      <c r="D9" s="406">
        <v>0.90900000000000003</v>
      </c>
      <c r="E9" s="406">
        <v>0.91200000000000003</v>
      </c>
      <c r="F9" s="406">
        <v>0.91200000000000003</v>
      </c>
      <c r="G9" s="406">
        <v>0.91200000000000003</v>
      </c>
      <c r="H9" s="409">
        <v>0.99</v>
      </c>
      <c r="I9" s="409">
        <v>1.01</v>
      </c>
      <c r="J9" s="409">
        <v>0.99</v>
      </c>
      <c r="K9" s="409">
        <v>1.01</v>
      </c>
      <c r="L9" s="408" t="s">
        <v>378</v>
      </c>
      <c r="M9" s="408">
        <v>1</v>
      </c>
    </row>
    <row r="10" spans="2:13" ht="23.25" x14ac:dyDescent="0.25">
      <c r="B10" s="405" t="s">
        <v>379</v>
      </c>
      <c r="C10" s="406">
        <v>4.3999999999999997E-2</v>
      </c>
      <c r="D10" s="406">
        <v>4.3999999999999997E-2</v>
      </c>
      <c r="E10" s="406">
        <v>4.3999999999999997E-2</v>
      </c>
      <c r="F10" s="406">
        <v>4.3999999999999997E-2</v>
      </c>
      <c r="G10" s="406">
        <v>4.3999999999999997E-2</v>
      </c>
      <c r="H10" s="409">
        <v>0.93</v>
      </c>
      <c r="I10" s="409">
        <v>1.07</v>
      </c>
      <c r="J10" s="409">
        <v>0.93</v>
      </c>
      <c r="K10" s="409">
        <v>1.07</v>
      </c>
      <c r="L10" s="408" t="s">
        <v>380</v>
      </c>
      <c r="M10" s="408">
        <v>1</v>
      </c>
    </row>
    <row r="11" spans="2:13" ht="23.25" x14ac:dyDescent="0.25">
      <c r="B11" s="405" t="s">
        <v>381</v>
      </c>
      <c r="C11" s="406">
        <v>7.0000000000000001E-3</v>
      </c>
      <c r="D11" s="406">
        <v>6.0000000000000001E-3</v>
      </c>
      <c r="E11" s="406">
        <v>5.0000000000000001E-3</v>
      </c>
      <c r="F11" s="406">
        <v>5.0000000000000001E-3</v>
      </c>
      <c r="G11" s="406">
        <v>4.0000000000000001E-3</v>
      </c>
      <c r="H11" s="409">
        <v>0.5</v>
      </c>
      <c r="I11" s="409">
        <v>1.5</v>
      </c>
      <c r="J11" s="409">
        <v>0.5</v>
      </c>
      <c r="K11" s="409">
        <v>1.5</v>
      </c>
      <c r="L11" s="408" t="s">
        <v>378</v>
      </c>
      <c r="M11" s="408">
        <v>1</v>
      </c>
    </row>
    <row r="12" spans="2:13" ht="23.25" x14ac:dyDescent="0.25">
      <c r="B12" s="405" t="s">
        <v>382</v>
      </c>
      <c r="C12" s="406">
        <v>4.3999999999999997E-2</v>
      </c>
      <c r="D12" s="406">
        <v>0.04</v>
      </c>
      <c r="E12" s="406">
        <v>3.5999999999999997E-2</v>
      </c>
      <c r="F12" s="406">
        <v>3.4000000000000002E-2</v>
      </c>
      <c r="G12" s="406">
        <v>3.2000000000000001E-2</v>
      </c>
      <c r="H12" s="409">
        <v>0.5</v>
      </c>
      <c r="I12" s="409">
        <v>0.5</v>
      </c>
      <c r="J12" s="409">
        <v>0.5</v>
      </c>
      <c r="K12" s="409">
        <v>0.5</v>
      </c>
      <c r="L12" s="408" t="s">
        <v>378</v>
      </c>
      <c r="M12" s="408">
        <v>1</v>
      </c>
    </row>
    <row r="13" spans="2:13" x14ac:dyDescent="0.25">
      <c r="B13" s="397" t="s">
        <v>253</v>
      </c>
      <c r="C13" s="398"/>
      <c r="D13" s="398"/>
      <c r="E13" s="398"/>
      <c r="F13" s="398"/>
      <c r="G13" s="398"/>
      <c r="H13" s="398"/>
      <c r="I13" s="398"/>
      <c r="J13" s="398"/>
      <c r="K13" s="398"/>
      <c r="L13" s="399"/>
      <c r="M13" s="400"/>
    </row>
    <row r="14" spans="2:13" x14ac:dyDescent="0.25">
      <c r="B14" s="405" t="s">
        <v>737</v>
      </c>
      <c r="C14" s="406">
        <v>0.84</v>
      </c>
      <c r="D14" s="406">
        <v>0.85</v>
      </c>
      <c r="E14" s="406">
        <v>0.86</v>
      </c>
      <c r="F14" s="406">
        <v>0.86</v>
      </c>
      <c r="G14" s="406">
        <v>0.87</v>
      </c>
      <c r="H14" s="409">
        <v>0.99</v>
      </c>
      <c r="I14" s="409">
        <v>1.01</v>
      </c>
      <c r="J14" s="409">
        <v>0.99</v>
      </c>
      <c r="K14" s="409">
        <v>1.01</v>
      </c>
      <c r="L14" s="408" t="s">
        <v>0</v>
      </c>
      <c r="M14" s="408">
        <v>1</v>
      </c>
    </row>
    <row r="15" spans="2:13" ht="23.25" x14ac:dyDescent="0.25">
      <c r="B15" s="405" t="s">
        <v>738</v>
      </c>
      <c r="C15" s="406">
        <v>0.04</v>
      </c>
      <c r="D15" s="406">
        <v>0.04</v>
      </c>
      <c r="E15" s="406">
        <v>0.04</v>
      </c>
      <c r="F15" s="406">
        <v>0.04</v>
      </c>
      <c r="G15" s="406">
        <v>0.04</v>
      </c>
      <c r="H15" s="409">
        <v>0.99</v>
      </c>
      <c r="I15" s="409">
        <v>1.01</v>
      </c>
      <c r="J15" s="409">
        <v>0.99</v>
      </c>
      <c r="K15" s="409">
        <v>1.01</v>
      </c>
      <c r="L15" s="408" t="s">
        <v>0</v>
      </c>
      <c r="M15" s="408">
        <v>1</v>
      </c>
    </row>
    <row r="16" spans="2:13" x14ac:dyDescent="0.25">
      <c r="B16" s="397"/>
      <c r="C16" s="398"/>
      <c r="D16" s="398"/>
      <c r="E16" s="398"/>
      <c r="F16" s="398"/>
      <c r="G16" s="398"/>
      <c r="H16" s="398"/>
      <c r="I16" s="398"/>
      <c r="J16" s="398"/>
      <c r="K16" s="398"/>
      <c r="L16" s="399"/>
      <c r="M16" s="400"/>
    </row>
    <row r="17" spans="2:13" x14ac:dyDescent="0.25">
      <c r="B17" s="405" t="s">
        <v>100</v>
      </c>
      <c r="C17" s="406">
        <v>0</v>
      </c>
      <c r="D17" s="406">
        <v>0</v>
      </c>
      <c r="E17" s="406">
        <v>0</v>
      </c>
      <c r="F17" s="406">
        <v>0</v>
      </c>
      <c r="G17" s="406">
        <v>0</v>
      </c>
      <c r="H17" s="406"/>
      <c r="I17" s="406"/>
      <c r="J17" s="406"/>
      <c r="K17" s="406"/>
      <c r="L17" s="408" t="s">
        <v>42</v>
      </c>
      <c r="M17" s="408"/>
    </row>
    <row r="18" spans="2:13" x14ac:dyDescent="0.25">
      <c r="B18" s="405" t="s">
        <v>24</v>
      </c>
      <c r="C18" s="410">
        <v>2</v>
      </c>
      <c r="D18" s="410">
        <v>2</v>
      </c>
      <c r="E18" s="410">
        <v>2</v>
      </c>
      <c r="F18" s="410">
        <v>2</v>
      </c>
      <c r="G18" s="410">
        <v>2</v>
      </c>
      <c r="H18" s="406"/>
      <c r="I18" s="406"/>
      <c r="J18" s="406"/>
      <c r="K18" s="406"/>
      <c r="L18" s="408"/>
      <c r="M18" s="408"/>
    </row>
    <row r="19" spans="2:13" x14ac:dyDescent="0.25">
      <c r="B19" s="405" t="s">
        <v>14</v>
      </c>
      <c r="C19" s="410">
        <v>25</v>
      </c>
      <c r="D19" s="410">
        <v>25</v>
      </c>
      <c r="E19" s="410">
        <v>25</v>
      </c>
      <c r="F19" s="410">
        <v>25</v>
      </c>
      <c r="G19" s="410">
        <v>25</v>
      </c>
      <c r="H19" s="406"/>
      <c r="I19" s="406"/>
      <c r="J19" s="406"/>
      <c r="K19" s="406"/>
      <c r="L19" s="408"/>
      <c r="M19" s="408"/>
    </row>
    <row r="20" spans="2:13" x14ac:dyDescent="0.25">
      <c r="B20" s="405" t="s">
        <v>12</v>
      </c>
      <c r="C20" s="410">
        <v>1.5</v>
      </c>
      <c r="D20" s="410">
        <v>1.5</v>
      </c>
      <c r="E20" s="410">
        <v>1.5</v>
      </c>
      <c r="F20" s="410">
        <v>1.5</v>
      </c>
      <c r="G20" s="410">
        <v>1.5</v>
      </c>
      <c r="H20" s="406"/>
      <c r="I20" s="406"/>
      <c r="J20" s="406"/>
      <c r="K20" s="406"/>
      <c r="L20" s="408"/>
      <c r="M20" s="408"/>
    </row>
    <row r="21" spans="2:13" x14ac:dyDescent="0.25">
      <c r="B21" s="397" t="s">
        <v>9</v>
      </c>
      <c r="C21" s="398"/>
      <c r="D21" s="398"/>
      <c r="E21" s="398"/>
      <c r="F21" s="398"/>
      <c r="G21" s="398"/>
      <c r="H21" s="398"/>
      <c r="I21" s="398"/>
      <c r="J21" s="398"/>
      <c r="K21" s="398"/>
      <c r="L21" s="399"/>
      <c r="M21" s="400"/>
    </row>
    <row r="22" spans="2:13" x14ac:dyDescent="0.25">
      <c r="B22" s="405" t="s">
        <v>729</v>
      </c>
      <c r="C22" s="411">
        <v>1.0811526411014516</v>
      </c>
      <c r="D22" s="412">
        <v>1.016120903290838</v>
      </c>
      <c r="E22" s="412">
        <v>0.93483123102757082</v>
      </c>
      <c r="F22" s="412">
        <v>0.89418639489593754</v>
      </c>
      <c r="G22" s="412">
        <v>0.84</v>
      </c>
      <c r="H22" s="407">
        <v>0.8</v>
      </c>
      <c r="I22" s="407">
        <v>1.2</v>
      </c>
      <c r="J22" s="407">
        <v>0.9</v>
      </c>
      <c r="K22" s="407">
        <v>1.1000000000000001</v>
      </c>
      <c r="L22" s="408" t="s">
        <v>386</v>
      </c>
      <c r="M22" s="408">
        <v>3</v>
      </c>
    </row>
    <row r="23" spans="2:13" x14ac:dyDescent="0.25">
      <c r="B23" s="405" t="s">
        <v>387</v>
      </c>
      <c r="C23" s="413">
        <v>75</v>
      </c>
      <c r="D23" s="406">
        <v>75</v>
      </c>
      <c r="E23" s="406">
        <v>75</v>
      </c>
      <c r="F23" s="406">
        <v>75</v>
      </c>
      <c r="G23" s="406">
        <v>75</v>
      </c>
      <c r="H23" s="406"/>
      <c r="I23" s="406"/>
      <c r="J23" s="406"/>
      <c r="K23" s="406"/>
      <c r="L23" s="408" t="s">
        <v>41</v>
      </c>
      <c r="M23" s="408"/>
    </row>
    <row r="24" spans="2:13" x14ac:dyDescent="0.25">
      <c r="B24" s="405" t="s">
        <v>389</v>
      </c>
      <c r="C24" s="406">
        <v>25</v>
      </c>
      <c r="D24" s="406">
        <v>25</v>
      </c>
      <c r="E24" s="406">
        <v>25</v>
      </c>
      <c r="F24" s="406">
        <v>25</v>
      </c>
      <c r="G24" s="406">
        <v>25</v>
      </c>
      <c r="H24" s="409"/>
      <c r="I24" s="409"/>
      <c r="J24" s="409"/>
      <c r="K24" s="409"/>
      <c r="L24" s="408" t="s">
        <v>41</v>
      </c>
      <c r="M24" s="408"/>
    </row>
    <row r="25" spans="2:13" x14ac:dyDescent="0.25">
      <c r="B25" s="405" t="s">
        <v>730</v>
      </c>
      <c r="C25" s="414">
        <v>0.1224105461393597</v>
      </c>
      <c r="D25" s="414">
        <v>0.1224105461393597</v>
      </c>
      <c r="E25" s="414">
        <v>0.1224105461393597</v>
      </c>
      <c r="F25" s="414">
        <v>0.1224105461393597</v>
      </c>
      <c r="G25" s="414">
        <v>0.1224105461393597</v>
      </c>
      <c r="H25" s="409">
        <v>0.9</v>
      </c>
      <c r="I25" s="409">
        <v>1.1000000000000001</v>
      </c>
      <c r="J25" s="409">
        <v>0.9</v>
      </c>
      <c r="K25" s="409">
        <v>1.1000000000000001</v>
      </c>
      <c r="L25" s="408" t="s">
        <v>392</v>
      </c>
      <c r="M25" s="408">
        <v>4</v>
      </c>
    </row>
    <row r="26" spans="2:13" x14ac:dyDescent="0.25">
      <c r="B26" s="405" t="s">
        <v>731</v>
      </c>
      <c r="C26" s="412">
        <v>7.6543947517200612</v>
      </c>
      <c r="D26" s="412">
        <v>7.6543947517200612</v>
      </c>
      <c r="E26" s="412">
        <v>7.6543947517200612</v>
      </c>
      <c r="F26" s="412">
        <v>7.6543947517200612</v>
      </c>
      <c r="G26" s="412">
        <v>7.6543947517200612</v>
      </c>
      <c r="H26" s="409">
        <v>0.9</v>
      </c>
      <c r="I26" s="409">
        <v>1.1000000000000001</v>
      </c>
      <c r="J26" s="409">
        <v>0.9</v>
      </c>
      <c r="K26" s="409">
        <v>1.1000000000000001</v>
      </c>
      <c r="L26" s="408" t="s">
        <v>392</v>
      </c>
      <c r="M26" s="408">
        <v>4</v>
      </c>
    </row>
    <row r="27" spans="2:13" x14ac:dyDescent="0.25">
      <c r="B27" s="405" t="s">
        <v>732</v>
      </c>
      <c r="C27" s="412">
        <v>0</v>
      </c>
      <c r="D27" s="412">
        <v>0</v>
      </c>
      <c r="E27" s="412">
        <v>0</v>
      </c>
      <c r="F27" s="412">
        <v>0</v>
      </c>
      <c r="G27" s="412">
        <v>0</v>
      </c>
      <c r="H27" s="406"/>
      <c r="I27" s="406"/>
      <c r="J27" s="406"/>
      <c r="K27" s="406"/>
      <c r="L27" s="408"/>
      <c r="M27" s="408"/>
    </row>
    <row r="28" spans="2:13" x14ac:dyDescent="0.25">
      <c r="B28" s="397" t="s">
        <v>268</v>
      </c>
      <c r="C28" s="398"/>
      <c r="D28" s="398"/>
      <c r="E28" s="398"/>
      <c r="F28" s="398"/>
      <c r="G28" s="398"/>
      <c r="H28" s="398"/>
      <c r="I28" s="398"/>
      <c r="J28" s="398"/>
      <c r="K28" s="398"/>
      <c r="L28" s="399"/>
      <c r="M28" s="400"/>
    </row>
    <row r="29" spans="2:13" ht="23.25" x14ac:dyDescent="0.25">
      <c r="B29" s="405" t="s">
        <v>394</v>
      </c>
      <c r="C29" s="410">
        <v>37.200000000000003</v>
      </c>
      <c r="D29" s="410">
        <v>37.200000000000003</v>
      </c>
      <c r="E29" s="410">
        <v>37.200000000000003</v>
      </c>
      <c r="F29" s="410">
        <v>37.200000000000003</v>
      </c>
      <c r="G29" s="410">
        <v>37.200000000000003</v>
      </c>
      <c r="H29" s="406"/>
      <c r="I29" s="406"/>
      <c r="J29" s="406"/>
      <c r="K29" s="406"/>
      <c r="L29" s="408"/>
      <c r="M29" s="408"/>
    </row>
    <row r="30" spans="2:13" x14ac:dyDescent="0.25">
      <c r="B30" s="405" t="s">
        <v>733</v>
      </c>
      <c r="C30" s="410">
        <v>0.88500000000000001</v>
      </c>
      <c r="D30" s="410">
        <v>0.88500000000000001</v>
      </c>
      <c r="E30" s="410">
        <v>0.88500000000000001</v>
      </c>
      <c r="F30" s="410">
        <v>0.88500000000000001</v>
      </c>
      <c r="G30" s="410">
        <v>0.88500000000000001</v>
      </c>
      <c r="H30" s="406"/>
      <c r="I30" s="406"/>
      <c r="J30" s="406"/>
      <c r="K30" s="406"/>
      <c r="L30" s="406"/>
      <c r="M30" s="406"/>
    </row>
    <row r="31" spans="2:13" ht="23.25" x14ac:dyDescent="0.25">
      <c r="B31" s="405" t="s">
        <v>385</v>
      </c>
      <c r="C31" s="410">
        <v>1.33</v>
      </c>
      <c r="D31" s="410">
        <v>1.25</v>
      </c>
      <c r="E31" s="410">
        <v>1.1499999999999999</v>
      </c>
      <c r="F31" s="416">
        <v>1.1000000000000001</v>
      </c>
      <c r="G31" s="416">
        <v>1</v>
      </c>
      <c r="H31" s="417">
        <v>0.8</v>
      </c>
      <c r="I31" s="417">
        <v>1.2</v>
      </c>
      <c r="J31" s="417">
        <v>0.9</v>
      </c>
      <c r="K31" s="417">
        <v>1.1000000000000001</v>
      </c>
      <c r="L31" s="406"/>
      <c r="M31" s="406"/>
    </row>
    <row r="32" spans="2:13" x14ac:dyDescent="0.25">
      <c r="B32" s="405" t="s">
        <v>387</v>
      </c>
      <c r="C32" s="413">
        <v>75</v>
      </c>
      <c r="D32" s="406">
        <v>75</v>
      </c>
      <c r="E32" s="406">
        <v>75</v>
      </c>
      <c r="F32" s="406">
        <v>75</v>
      </c>
      <c r="G32" s="406">
        <v>75</v>
      </c>
      <c r="H32" s="406"/>
      <c r="I32" s="406"/>
      <c r="J32" s="406"/>
      <c r="K32" s="406"/>
      <c r="L32" s="408" t="s">
        <v>41</v>
      </c>
      <c r="M32" s="406"/>
    </row>
    <row r="33" spans="2:13" x14ac:dyDescent="0.25">
      <c r="B33" s="405" t="s">
        <v>389</v>
      </c>
      <c r="C33" s="406">
        <v>25</v>
      </c>
      <c r="D33" s="406">
        <v>25</v>
      </c>
      <c r="E33" s="406">
        <v>25</v>
      </c>
      <c r="F33" s="406">
        <v>25</v>
      </c>
      <c r="G33" s="406">
        <v>25</v>
      </c>
      <c r="H33" s="406"/>
      <c r="I33" s="406"/>
      <c r="J33" s="406"/>
      <c r="K33" s="406"/>
      <c r="L33" s="408" t="s">
        <v>41</v>
      </c>
      <c r="M33" s="406"/>
    </row>
    <row r="34" spans="2:13" x14ac:dyDescent="0.25">
      <c r="B34" s="405" t="s">
        <v>391</v>
      </c>
      <c r="C34" s="412">
        <v>0.14689265536723164</v>
      </c>
      <c r="D34" s="412">
        <v>0.14689265536723164</v>
      </c>
      <c r="E34" s="412">
        <v>0.14689265536723164</v>
      </c>
      <c r="F34" s="412">
        <v>0.14689265536723164</v>
      </c>
      <c r="G34" s="412">
        <v>0.14689265536723164</v>
      </c>
      <c r="H34" s="407">
        <v>0.9</v>
      </c>
      <c r="I34" s="407">
        <v>1.1000000000000001</v>
      </c>
      <c r="J34" s="407">
        <v>0.9</v>
      </c>
      <c r="K34" s="407">
        <v>1.1000000000000001</v>
      </c>
      <c r="L34" s="408" t="s">
        <v>392</v>
      </c>
      <c r="M34" s="406"/>
    </row>
    <row r="35" spans="2:13" ht="23.25" x14ac:dyDescent="0.25">
      <c r="B35" s="405" t="s">
        <v>393</v>
      </c>
      <c r="C35" s="412">
        <v>7.909604519774012E-2</v>
      </c>
      <c r="D35" s="412">
        <v>7.909604519774012E-2</v>
      </c>
      <c r="E35" s="412">
        <v>7.909604519774012E-2</v>
      </c>
      <c r="F35" s="412">
        <v>7.909604519774012E-2</v>
      </c>
      <c r="G35" s="412">
        <v>7.909604519774012E-2</v>
      </c>
      <c r="H35" s="407">
        <v>0.9</v>
      </c>
      <c r="I35" s="407">
        <v>1.1000000000000001</v>
      </c>
      <c r="J35" s="407">
        <v>0.9</v>
      </c>
      <c r="K35" s="407">
        <v>1.1000000000000001</v>
      </c>
      <c r="L35" s="408" t="s">
        <v>392</v>
      </c>
      <c r="M35" s="406"/>
    </row>
    <row r="37" spans="2:13" x14ac:dyDescent="0.25">
      <c r="B37" s="350" t="s">
        <v>6</v>
      </c>
    </row>
    <row r="38" spans="2:13" x14ac:dyDescent="0.25">
      <c r="B38" s="349" t="s">
        <v>395</v>
      </c>
    </row>
    <row r="39" spans="2:13" x14ac:dyDescent="0.25">
      <c r="B39" s="349" t="s">
        <v>396</v>
      </c>
    </row>
    <row r="40" spans="2:13" x14ac:dyDescent="0.25">
      <c r="B40" s="349" t="s">
        <v>397</v>
      </c>
    </row>
    <row r="41" spans="2:13" x14ac:dyDescent="0.25">
      <c r="B41" s="349" t="s">
        <v>398</v>
      </c>
    </row>
    <row r="42" spans="2:13" x14ac:dyDescent="0.25">
      <c r="B42" s="349" t="s">
        <v>399</v>
      </c>
    </row>
    <row r="43" spans="2:13" x14ac:dyDescent="0.25">
      <c r="B43" s="349" t="s">
        <v>400</v>
      </c>
    </row>
    <row r="44" spans="2:13" x14ac:dyDescent="0.25">
      <c r="B44" s="349" t="s">
        <v>401</v>
      </c>
    </row>
    <row r="45" spans="2:13" x14ac:dyDescent="0.25">
      <c r="B45" s="349" t="s">
        <v>402</v>
      </c>
    </row>
    <row r="46" spans="2:13" x14ac:dyDescent="0.25">
      <c r="B46" s="349" t="s">
        <v>403</v>
      </c>
    </row>
    <row r="47" spans="2:13" x14ac:dyDescent="0.25">
      <c r="B47" s="349" t="s">
        <v>404</v>
      </c>
    </row>
    <row r="48" spans="2:13" x14ac:dyDescent="0.25">
      <c r="B48" s="349" t="s">
        <v>405</v>
      </c>
    </row>
    <row r="49" spans="2:2" x14ac:dyDescent="0.25">
      <c r="B49" s="349" t="s">
        <v>406</v>
      </c>
    </row>
    <row r="50" spans="2:2" x14ac:dyDescent="0.25">
      <c r="B50" s="349" t="s">
        <v>407</v>
      </c>
    </row>
    <row r="52" spans="2:2" x14ac:dyDescent="0.25">
      <c r="B52" s="350" t="s">
        <v>408</v>
      </c>
    </row>
    <row r="53" spans="2:2" x14ac:dyDescent="0.25">
      <c r="B53" s="349" t="s">
        <v>700</v>
      </c>
    </row>
    <row r="54" spans="2:2" x14ac:dyDescent="0.25">
      <c r="B54" s="349" t="s">
        <v>409</v>
      </c>
    </row>
    <row r="55" spans="2:2" x14ac:dyDescent="0.25">
      <c r="B55" s="349" t="s">
        <v>410</v>
      </c>
    </row>
    <row r="56" spans="2:2" x14ac:dyDescent="0.25">
      <c r="B56" s="349" t="s">
        <v>411</v>
      </c>
    </row>
    <row r="57" spans="2:2" x14ac:dyDescent="0.25">
      <c r="B57" s="349" t="s">
        <v>412</v>
      </c>
    </row>
    <row r="58" spans="2:2" x14ac:dyDescent="0.25">
      <c r="B58" s="349" t="s">
        <v>413</v>
      </c>
    </row>
    <row r="59" spans="2:2" x14ac:dyDescent="0.25">
      <c r="B59" s="349" t="s">
        <v>414</v>
      </c>
    </row>
    <row r="60" spans="2:2" x14ac:dyDescent="0.25">
      <c r="B60" s="349" t="s">
        <v>415</v>
      </c>
    </row>
    <row r="61" spans="2:2" x14ac:dyDescent="0.25">
      <c r="B61" s="349" t="s">
        <v>416</v>
      </c>
    </row>
    <row r="62" spans="2:2" x14ac:dyDescent="0.25">
      <c r="B62" s="349" t="s">
        <v>417</v>
      </c>
    </row>
    <row r="63" spans="2:2" x14ac:dyDescent="0.25">
      <c r="B63" s="349" t="s">
        <v>418</v>
      </c>
    </row>
  </sheetData>
  <mergeCells count="3">
    <mergeCell ref="C2:M2"/>
    <mergeCell ref="H3:I3"/>
    <mergeCell ref="J3:K3"/>
  </mergeCells>
  <hyperlinks>
    <hyperlink ref="B54" r:id="rId1" display="https://www.iisd.org/gsi/sites/default/files/bf_awc_germany.pdf"/>
    <hyperlink ref="B55" r:id="rId2" display="http://www.desmetballestra.com/images/PDF-Brochures-2014/Biodiesel2015.pdf"/>
    <hyperlink ref="B56" r:id="rId3" display="http://www.eia.gov/cfapps/ipdbproject/IEDIndex3.cfm?tid=79&amp;pid=79&amp;aid=1"/>
    <hyperlink ref="B57" r:id="rId4" display="https://ens.dk/sites/ens.dk/files/Statistik/energy_statistics_2015.pdf"/>
    <hyperlink ref="B58" r:id="rId5" display="http://task39.sites.olt.ubc.ca/files/2015/06/IEA-Bioenergy-Task-39-Newsletter-Issue-39-May-2015-final.pdf"/>
    <hyperlink ref="B59" r:id="rId6" display="https://doi.org/10.1016/j.biortech.2017.12.031"/>
    <hyperlink ref="B60" r:id="rId7" display="https://www.cargill.com/2017/cargill-to-build-state-of-the-art-biodiesel-plant-in-wichita-ks"/>
    <hyperlink ref="B61" r:id="rId8" display="http://www.irena.org/-/media/Files/IRENA/Agency/Publication/2013/Road_Transport.ashx"/>
    <hyperlink ref="B62" r:id="rId9" display="http://task39.sites.olt.ubc.ca/files/2013/05/Technological-learning-in-the-German-Biodiesel-Industry.pdf"/>
    <hyperlink ref="B63" r:id="rId10" display="http://www.extension.iastate.edu/agdm/energy/xls/d1-15biodieselprofitability.xlsx"/>
    <hyperlink ref="H1" location="Index" display="Back to Index"/>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69"/>
  <sheetViews>
    <sheetView topLeftCell="A7" workbookViewId="0">
      <selection activeCell="H1" sqref="H1"/>
    </sheetView>
  </sheetViews>
  <sheetFormatPr defaultRowHeight="15" x14ac:dyDescent="0.25"/>
  <cols>
    <col min="1" max="1" width="2.7109375" customWidth="1"/>
    <col min="2" max="2" width="22.28515625" customWidth="1"/>
    <col min="3" max="12" width="8" customWidth="1"/>
  </cols>
  <sheetData>
    <row r="1" spans="2:13" x14ac:dyDescent="0.25">
      <c r="H1" s="355" t="s">
        <v>709</v>
      </c>
    </row>
    <row r="2" spans="2:13" x14ac:dyDescent="0.25">
      <c r="B2" s="393" t="s">
        <v>20</v>
      </c>
      <c r="C2" s="658" t="s">
        <v>808</v>
      </c>
      <c r="D2" s="658"/>
      <c r="E2" s="658"/>
      <c r="F2" s="658"/>
      <c r="G2" s="658"/>
      <c r="H2" s="658"/>
      <c r="I2" s="658"/>
      <c r="J2" s="658"/>
      <c r="K2" s="658"/>
      <c r="L2" s="658"/>
      <c r="M2" s="658"/>
    </row>
    <row r="3" spans="2:13" ht="15" customHeight="1" x14ac:dyDescent="0.25">
      <c r="B3" s="406"/>
      <c r="C3" s="406">
        <v>2015</v>
      </c>
      <c r="D3" s="406">
        <v>2020</v>
      </c>
      <c r="E3" s="406">
        <v>2030</v>
      </c>
      <c r="F3" s="406">
        <v>2040</v>
      </c>
      <c r="G3" s="406">
        <v>2050</v>
      </c>
      <c r="H3" s="659" t="s">
        <v>26</v>
      </c>
      <c r="I3" s="659"/>
      <c r="J3" s="659" t="s">
        <v>25</v>
      </c>
      <c r="K3" s="659"/>
      <c r="L3" s="408" t="s">
        <v>19</v>
      </c>
      <c r="M3" s="408" t="s">
        <v>18</v>
      </c>
    </row>
    <row r="4" spans="2:13" x14ac:dyDescent="0.25">
      <c r="B4" s="419"/>
      <c r="C4" s="419"/>
      <c r="D4" s="419"/>
      <c r="E4" s="419"/>
      <c r="F4" s="419"/>
      <c r="G4" s="419"/>
      <c r="H4" s="420" t="s">
        <v>17</v>
      </c>
      <c r="I4" s="420" t="s">
        <v>16</v>
      </c>
      <c r="J4" s="420" t="s">
        <v>17</v>
      </c>
      <c r="K4" s="420" t="s">
        <v>16</v>
      </c>
      <c r="L4" s="420"/>
      <c r="M4" s="420"/>
    </row>
    <row r="5" spans="2:13" x14ac:dyDescent="0.25">
      <c r="B5" s="421" t="s">
        <v>15</v>
      </c>
      <c r="C5" s="398"/>
      <c r="D5" s="398"/>
      <c r="E5" s="398"/>
      <c r="F5" s="398"/>
      <c r="G5" s="398"/>
      <c r="H5" s="398"/>
      <c r="I5" s="398"/>
      <c r="J5" s="398"/>
      <c r="K5" s="398"/>
      <c r="L5" s="399"/>
      <c r="M5" s="400"/>
    </row>
    <row r="6" spans="2:13" x14ac:dyDescent="0.25">
      <c r="B6" s="402" t="s">
        <v>419</v>
      </c>
      <c r="C6" s="402">
        <v>500</v>
      </c>
      <c r="D6" s="402">
        <v>500</v>
      </c>
      <c r="E6" s="402">
        <v>750</v>
      </c>
      <c r="F6" s="402">
        <v>850</v>
      </c>
      <c r="G6" s="402">
        <v>1000</v>
      </c>
      <c r="H6" s="403">
        <v>0.5</v>
      </c>
      <c r="I6" s="403">
        <v>2</v>
      </c>
      <c r="J6" s="403">
        <v>0.5</v>
      </c>
      <c r="K6" s="403">
        <v>1</v>
      </c>
      <c r="L6" s="404" t="s">
        <v>420</v>
      </c>
      <c r="M6" s="404"/>
    </row>
    <row r="7" spans="2:13" x14ac:dyDescent="0.25">
      <c r="B7" s="406" t="s">
        <v>421</v>
      </c>
      <c r="C7" s="406">
        <v>730</v>
      </c>
      <c r="D7" s="406">
        <v>730</v>
      </c>
      <c r="E7" s="406">
        <v>1100</v>
      </c>
      <c r="F7" s="406">
        <v>1250</v>
      </c>
      <c r="G7" s="406">
        <v>1460</v>
      </c>
      <c r="H7" s="407">
        <v>0.5</v>
      </c>
      <c r="I7" s="407">
        <v>2</v>
      </c>
      <c r="J7" s="407">
        <v>0.5</v>
      </c>
      <c r="K7" s="407">
        <v>1</v>
      </c>
      <c r="L7" s="408" t="s">
        <v>422</v>
      </c>
      <c r="M7" s="408"/>
    </row>
    <row r="8" spans="2:13" x14ac:dyDescent="0.25">
      <c r="B8" s="421" t="s">
        <v>249</v>
      </c>
      <c r="C8" s="398"/>
      <c r="D8" s="398"/>
      <c r="E8" s="398"/>
      <c r="F8" s="398"/>
      <c r="G8" s="398"/>
      <c r="H8" s="398"/>
      <c r="I8" s="398"/>
      <c r="J8" s="398"/>
      <c r="K8" s="398"/>
      <c r="L8" s="399"/>
      <c r="M8" s="400"/>
    </row>
    <row r="9" spans="2:13" x14ac:dyDescent="0.25">
      <c r="B9" s="406" t="s">
        <v>423</v>
      </c>
      <c r="C9" s="406">
        <v>0.88100000000000001</v>
      </c>
      <c r="D9" s="406">
        <v>0.88100000000000001</v>
      </c>
      <c r="E9" s="406">
        <v>0.88100000000000001</v>
      </c>
      <c r="F9" s="406">
        <v>0.88100000000000001</v>
      </c>
      <c r="G9" s="406">
        <v>0.88100000000000001</v>
      </c>
      <c r="H9" s="409">
        <v>0.99</v>
      </c>
      <c r="I9" s="409">
        <v>1.01</v>
      </c>
      <c r="J9" s="409">
        <v>0.99</v>
      </c>
      <c r="K9" s="409">
        <v>1.01</v>
      </c>
      <c r="L9" s="408" t="s">
        <v>3</v>
      </c>
      <c r="M9" s="408" t="s">
        <v>424</v>
      </c>
    </row>
    <row r="10" spans="2:13" x14ac:dyDescent="0.25">
      <c r="B10" s="406" t="s">
        <v>425</v>
      </c>
      <c r="C10" s="406">
        <v>0.105</v>
      </c>
      <c r="D10" s="406">
        <v>0.105</v>
      </c>
      <c r="E10" s="406">
        <v>0.105</v>
      </c>
      <c r="F10" s="406">
        <v>0.105</v>
      </c>
      <c r="G10" s="406">
        <v>0.105</v>
      </c>
      <c r="H10" s="409">
        <v>0.93</v>
      </c>
      <c r="I10" s="409">
        <v>1.07</v>
      </c>
      <c r="J10" s="409">
        <v>0.93</v>
      </c>
      <c r="K10" s="409">
        <v>1.07</v>
      </c>
      <c r="L10" s="408" t="s">
        <v>426</v>
      </c>
      <c r="M10" s="408" t="s">
        <v>424</v>
      </c>
    </row>
    <row r="11" spans="2:13" x14ac:dyDescent="0.25">
      <c r="B11" s="406" t="s">
        <v>427</v>
      </c>
      <c r="C11" s="406">
        <v>8.0000000000000002E-3</v>
      </c>
      <c r="D11" s="406">
        <v>8.0000000000000002E-3</v>
      </c>
      <c r="E11" s="406">
        <v>8.0000000000000002E-3</v>
      </c>
      <c r="F11" s="406">
        <v>8.0000000000000002E-3</v>
      </c>
      <c r="G11" s="406">
        <v>8.0000000000000002E-3</v>
      </c>
      <c r="H11" s="409">
        <v>0.5</v>
      </c>
      <c r="I11" s="409">
        <v>1.5</v>
      </c>
      <c r="J11" s="409">
        <v>0.5</v>
      </c>
      <c r="K11" s="409">
        <v>1.5</v>
      </c>
      <c r="L11" s="408" t="s">
        <v>3</v>
      </c>
      <c r="M11" s="408" t="s">
        <v>424</v>
      </c>
    </row>
    <row r="12" spans="2:13" x14ac:dyDescent="0.25">
      <c r="B12" s="406" t="s">
        <v>428</v>
      </c>
      <c r="C12" s="406">
        <v>7.0000000000000001E-3</v>
      </c>
      <c r="D12" s="406">
        <v>7.0000000000000001E-3</v>
      </c>
      <c r="E12" s="406">
        <v>7.0000000000000001E-3</v>
      </c>
      <c r="F12" s="406">
        <v>7.0000000000000001E-3</v>
      </c>
      <c r="G12" s="406">
        <v>7.0000000000000001E-3</v>
      </c>
      <c r="H12" s="409">
        <v>0.5</v>
      </c>
      <c r="I12" s="409">
        <v>0.5</v>
      </c>
      <c r="J12" s="409">
        <v>0.5</v>
      </c>
      <c r="K12" s="409">
        <v>0.5</v>
      </c>
      <c r="L12" s="408" t="s">
        <v>3</v>
      </c>
      <c r="M12" s="408" t="s">
        <v>424</v>
      </c>
    </row>
    <row r="13" spans="2:13" x14ac:dyDescent="0.25">
      <c r="B13" s="421" t="s">
        <v>253</v>
      </c>
      <c r="C13" s="398"/>
      <c r="D13" s="398"/>
      <c r="E13" s="398"/>
      <c r="F13" s="398"/>
      <c r="G13" s="398"/>
      <c r="H13" s="398"/>
      <c r="I13" s="398"/>
      <c r="J13" s="398"/>
      <c r="K13" s="398"/>
      <c r="L13" s="399"/>
      <c r="M13" s="400"/>
    </row>
    <row r="14" spans="2:13" x14ac:dyDescent="0.25">
      <c r="B14" s="406" t="s">
        <v>429</v>
      </c>
      <c r="C14" s="414">
        <v>0.85</v>
      </c>
      <c r="D14" s="414">
        <v>0.85</v>
      </c>
      <c r="E14" s="414">
        <v>0.85</v>
      </c>
      <c r="F14" s="414">
        <v>0.85</v>
      </c>
      <c r="G14" s="414">
        <v>0.85</v>
      </c>
      <c r="H14" s="409">
        <v>0.99</v>
      </c>
      <c r="I14" s="409">
        <v>1.01</v>
      </c>
      <c r="J14" s="409">
        <v>0.99</v>
      </c>
      <c r="K14" s="409">
        <v>1.01</v>
      </c>
      <c r="L14" s="408" t="s">
        <v>430</v>
      </c>
      <c r="M14" s="408"/>
    </row>
    <row r="15" spans="2:13" x14ac:dyDescent="0.25">
      <c r="B15" s="406" t="s">
        <v>739</v>
      </c>
      <c r="C15" s="414">
        <v>6.6000000000000003E-2</v>
      </c>
      <c r="D15" s="414">
        <v>6.6000000000000003E-2</v>
      </c>
      <c r="E15" s="414">
        <v>6.6000000000000003E-2</v>
      </c>
      <c r="F15" s="414">
        <v>6.6000000000000003E-2</v>
      </c>
      <c r="G15" s="414">
        <v>6.6000000000000003E-2</v>
      </c>
      <c r="H15" s="409">
        <v>0.99</v>
      </c>
      <c r="I15" s="409">
        <v>1.01</v>
      </c>
      <c r="J15" s="409">
        <v>0.99</v>
      </c>
      <c r="K15" s="409">
        <v>1.01</v>
      </c>
      <c r="L15" s="408" t="s">
        <v>430</v>
      </c>
      <c r="M15" s="408"/>
    </row>
    <row r="16" spans="2:13" x14ac:dyDescent="0.25">
      <c r="B16" s="406" t="s">
        <v>740</v>
      </c>
      <c r="C16" s="414">
        <v>3.3000000000000002E-2</v>
      </c>
      <c r="D16" s="414">
        <v>3.3000000000000002E-2</v>
      </c>
      <c r="E16" s="414">
        <v>3.3000000000000002E-2</v>
      </c>
      <c r="F16" s="414">
        <v>3.3000000000000002E-2</v>
      </c>
      <c r="G16" s="414">
        <v>3.3000000000000002E-2</v>
      </c>
      <c r="H16" s="409">
        <v>0.99</v>
      </c>
      <c r="I16" s="409">
        <v>1.01</v>
      </c>
      <c r="J16" s="409">
        <v>0.99</v>
      </c>
      <c r="K16" s="409">
        <v>1.01</v>
      </c>
      <c r="L16" s="408" t="s">
        <v>430</v>
      </c>
      <c r="M16" s="408"/>
    </row>
    <row r="17" spans="2:13" x14ac:dyDescent="0.25">
      <c r="B17" s="406" t="s">
        <v>741</v>
      </c>
      <c r="C17" s="414">
        <v>2.75E-2</v>
      </c>
      <c r="D17" s="414">
        <v>2.75E-2</v>
      </c>
      <c r="E17" s="414">
        <v>2.75E-2</v>
      </c>
      <c r="F17" s="414">
        <v>2.75E-2</v>
      </c>
      <c r="G17" s="414">
        <v>2.75E-2</v>
      </c>
      <c r="H17" s="409">
        <v>0.99</v>
      </c>
      <c r="I17" s="409">
        <v>1.01</v>
      </c>
      <c r="J17" s="409">
        <v>0.99</v>
      </c>
      <c r="K17" s="409">
        <v>1.01</v>
      </c>
      <c r="L17" s="408" t="s">
        <v>430</v>
      </c>
      <c r="M17" s="408"/>
    </row>
    <row r="18" spans="2:13" x14ac:dyDescent="0.25">
      <c r="B18" s="406" t="s">
        <v>742</v>
      </c>
      <c r="C18" s="414">
        <f>0.0237*0.15</f>
        <v>3.5549999999999996E-3</v>
      </c>
      <c r="D18" s="414">
        <f t="shared" ref="D18:G18" si="0">0.0237*0.15</f>
        <v>3.5549999999999996E-3</v>
      </c>
      <c r="E18" s="414">
        <f t="shared" si="0"/>
        <v>3.5549999999999996E-3</v>
      </c>
      <c r="F18" s="414">
        <f t="shared" si="0"/>
        <v>3.5549999999999996E-3</v>
      </c>
      <c r="G18" s="414">
        <f t="shared" si="0"/>
        <v>3.5549999999999996E-3</v>
      </c>
      <c r="H18" s="409">
        <v>0.99</v>
      </c>
      <c r="I18" s="409">
        <v>1.01</v>
      </c>
      <c r="J18" s="409">
        <v>0.99</v>
      </c>
      <c r="K18" s="409">
        <v>1.01</v>
      </c>
      <c r="L18" s="408" t="s">
        <v>430</v>
      </c>
      <c r="M18" s="408"/>
    </row>
    <row r="19" spans="2:13" x14ac:dyDescent="0.25">
      <c r="B19" s="421"/>
      <c r="C19" s="398"/>
      <c r="D19" s="398"/>
      <c r="E19" s="398"/>
      <c r="F19" s="398"/>
      <c r="G19" s="398"/>
      <c r="H19" s="398"/>
      <c r="I19" s="398"/>
      <c r="J19" s="398"/>
      <c r="K19" s="398"/>
      <c r="L19" s="399"/>
      <c r="M19" s="400"/>
    </row>
    <row r="20" spans="2:13" x14ac:dyDescent="0.25">
      <c r="B20" s="406" t="s">
        <v>100</v>
      </c>
      <c r="C20" s="406">
        <v>0</v>
      </c>
      <c r="D20" s="406">
        <v>0</v>
      </c>
      <c r="E20" s="406">
        <v>0</v>
      </c>
      <c r="F20" s="406">
        <v>0</v>
      </c>
      <c r="G20" s="406">
        <v>0</v>
      </c>
      <c r="H20" s="406"/>
      <c r="I20" s="406"/>
      <c r="J20" s="406"/>
      <c r="K20" s="406"/>
      <c r="L20" s="408" t="s">
        <v>135</v>
      </c>
      <c r="M20" s="408"/>
    </row>
    <row r="21" spans="2:13" x14ac:dyDescent="0.25">
      <c r="B21" s="406" t="s">
        <v>24</v>
      </c>
      <c r="C21" s="406">
        <v>2</v>
      </c>
      <c r="D21" s="406">
        <v>2</v>
      </c>
      <c r="E21" s="406">
        <v>2</v>
      </c>
      <c r="F21" s="406">
        <v>2</v>
      </c>
      <c r="G21" s="406">
        <v>2</v>
      </c>
      <c r="H21" s="406"/>
      <c r="I21" s="406"/>
      <c r="J21" s="406"/>
      <c r="K21" s="406"/>
      <c r="L21" s="408"/>
      <c r="M21" s="408">
        <v>7</v>
      </c>
    </row>
    <row r="22" spans="2:13" x14ac:dyDescent="0.25">
      <c r="B22" s="406" t="s">
        <v>14</v>
      </c>
      <c r="C22" s="410">
        <v>25</v>
      </c>
      <c r="D22" s="410">
        <v>25</v>
      </c>
      <c r="E22" s="410">
        <v>25</v>
      </c>
      <c r="F22" s="410">
        <v>25</v>
      </c>
      <c r="G22" s="410">
        <v>25</v>
      </c>
      <c r="H22" s="406"/>
      <c r="I22" s="406"/>
      <c r="J22" s="406"/>
      <c r="K22" s="406"/>
      <c r="L22" s="408"/>
      <c r="M22" s="408"/>
    </row>
    <row r="23" spans="2:13" x14ac:dyDescent="0.25">
      <c r="B23" s="406" t="s">
        <v>12</v>
      </c>
      <c r="C23" s="410">
        <v>2</v>
      </c>
      <c r="D23" s="410">
        <v>2</v>
      </c>
      <c r="E23" s="410">
        <v>2</v>
      </c>
      <c r="F23" s="410">
        <v>2</v>
      </c>
      <c r="G23" s="410">
        <v>2</v>
      </c>
      <c r="H23" s="406"/>
      <c r="I23" s="406"/>
      <c r="J23" s="406"/>
      <c r="K23" s="406"/>
      <c r="L23" s="408"/>
      <c r="M23" s="408"/>
    </row>
    <row r="24" spans="2:13" x14ac:dyDescent="0.25">
      <c r="B24" s="421" t="s">
        <v>9</v>
      </c>
      <c r="C24" s="398"/>
      <c r="D24" s="398"/>
      <c r="E24" s="398"/>
      <c r="F24" s="398"/>
      <c r="G24" s="398"/>
      <c r="H24" s="398"/>
      <c r="I24" s="398"/>
      <c r="J24" s="398"/>
      <c r="K24" s="398"/>
      <c r="L24" s="399"/>
      <c r="M24" s="400"/>
    </row>
    <row r="25" spans="2:13" x14ac:dyDescent="0.25">
      <c r="B25" s="406" t="s">
        <v>729</v>
      </c>
      <c r="C25" s="412">
        <v>0.76498843622131285</v>
      </c>
      <c r="D25" s="412">
        <v>0.75609322184664662</v>
      </c>
      <c r="E25" s="412">
        <v>0.63754427390791024</v>
      </c>
      <c r="F25" s="412">
        <v>0.59840000000000004</v>
      </c>
      <c r="G25" s="412">
        <v>0.57818893435331797</v>
      </c>
      <c r="H25" s="409">
        <v>0.9</v>
      </c>
      <c r="I25" s="409">
        <v>1.1000000000000001</v>
      </c>
      <c r="J25" s="409">
        <v>0.9</v>
      </c>
      <c r="K25" s="409">
        <v>1.1000000000000001</v>
      </c>
      <c r="L25" s="408" t="s">
        <v>432</v>
      </c>
      <c r="M25" s="408" t="s">
        <v>433</v>
      </c>
    </row>
    <row r="26" spans="2:13" x14ac:dyDescent="0.25">
      <c r="B26" s="406" t="s">
        <v>434</v>
      </c>
      <c r="C26" s="413">
        <v>75</v>
      </c>
      <c r="D26" s="406">
        <v>75</v>
      </c>
      <c r="E26" s="406">
        <v>75</v>
      </c>
      <c r="F26" s="406">
        <v>75</v>
      </c>
      <c r="G26" s="406">
        <v>75</v>
      </c>
      <c r="H26" s="406"/>
      <c r="I26" s="406"/>
      <c r="J26" s="406"/>
      <c r="K26" s="406"/>
      <c r="L26" s="408"/>
      <c r="M26" s="408"/>
    </row>
    <row r="27" spans="2:13" x14ac:dyDescent="0.25">
      <c r="B27" s="406" t="s">
        <v>435</v>
      </c>
      <c r="C27" s="406">
        <v>25</v>
      </c>
      <c r="D27" s="406">
        <v>25</v>
      </c>
      <c r="E27" s="406">
        <v>25</v>
      </c>
      <c r="F27" s="406">
        <v>25</v>
      </c>
      <c r="G27" s="406">
        <v>25</v>
      </c>
      <c r="H27" s="406"/>
      <c r="I27" s="406"/>
      <c r="J27" s="406"/>
      <c r="K27" s="406"/>
      <c r="L27" s="408"/>
      <c r="M27" s="408"/>
    </row>
    <row r="28" spans="2:13" x14ac:dyDescent="0.25">
      <c r="B28" s="406" t="s">
        <v>730</v>
      </c>
      <c r="C28" s="414">
        <v>3.558085749866572E-2</v>
      </c>
      <c r="D28" s="414">
        <v>3.558085749866572E-2</v>
      </c>
      <c r="E28" s="414">
        <v>3.5419126328217233E-2</v>
      </c>
      <c r="F28" s="414">
        <v>3.5324675324675321E-2</v>
      </c>
      <c r="G28" s="414">
        <v>3.558085749866572E-2</v>
      </c>
      <c r="H28" s="409">
        <v>0.9</v>
      </c>
      <c r="I28" s="409">
        <v>1.1000000000000001</v>
      </c>
      <c r="J28" s="409">
        <v>0.9</v>
      </c>
      <c r="K28" s="409">
        <v>1.1000000000000001</v>
      </c>
      <c r="L28" s="408" t="s">
        <v>437</v>
      </c>
      <c r="M28" s="408">
        <v>7</v>
      </c>
    </row>
    <row r="29" spans="2:13" x14ac:dyDescent="0.25">
      <c r="B29" s="406" t="s">
        <v>731</v>
      </c>
      <c r="C29" s="412">
        <v>8.4812467537895504</v>
      </c>
      <c r="D29" s="412">
        <v>8.4812467537895504</v>
      </c>
      <c r="E29" s="412">
        <v>8.4812467537895539</v>
      </c>
      <c r="F29" s="412">
        <v>8.4812467537895522</v>
      </c>
      <c r="G29" s="412">
        <v>8.4812467537895504</v>
      </c>
      <c r="H29" s="409">
        <v>0.9</v>
      </c>
      <c r="I29" s="409">
        <v>1.1000000000000001</v>
      </c>
      <c r="J29" s="409">
        <v>0.9</v>
      </c>
      <c r="K29" s="409">
        <v>1.1000000000000001</v>
      </c>
      <c r="L29" s="408" t="s">
        <v>437</v>
      </c>
      <c r="M29" s="408">
        <v>7</v>
      </c>
    </row>
    <row r="30" spans="2:13" x14ac:dyDescent="0.25">
      <c r="B30" s="406" t="s">
        <v>743</v>
      </c>
      <c r="C30" s="406">
        <v>0</v>
      </c>
      <c r="D30" s="406">
        <v>0</v>
      </c>
      <c r="E30" s="406">
        <v>0</v>
      </c>
      <c r="F30" s="406">
        <v>0</v>
      </c>
      <c r="G30" s="406">
        <v>0</v>
      </c>
      <c r="H30" s="409"/>
      <c r="I30" s="409"/>
      <c r="J30" s="409"/>
      <c r="K30" s="409"/>
      <c r="L30" s="408"/>
      <c r="M30" s="408"/>
    </row>
    <row r="31" spans="2:13" x14ac:dyDescent="0.25">
      <c r="B31" s="421" t="s">
        <v>268</v>
      </c>
      <c r="C31" s="398"/>
      <c r="D31" s="398"/>
      <c r="E31" s="398"/>
      <c r="F31" s="398"/>
      <c r="G31" s="398"/>
      <c r="H31" s="398"/>
      <c r="I31" s="398"/>
      <c r="J31" s="398"/>
      <c r="K31" s="398"/>
      <c r="L31" s="399"/>
      <c r="M31" s="400"/>
    </row>
    <row r="32" spans="2:13" x14ac:dyDescent="0.25">
      <c r="B32" s="406" t="s">
        <v>439</v>
      </c>
      <c r="C32" s="415">
        <v>44.1</v>
      </c>
      <c r="D32" s="415">
        <v>44.1</v>
      </c>
      <c r="E32" s="415">
        <v>44.1</v>
      </c>
      <c r="F32" s="415">
        <v>44.1</v>
      </c>
      <c r="G32" s="415">
        <v>44.1</v>
      </c>
      <c r="H32" s="406"/>
      <c r="I32" s="406"/>
      <c r="J32" s="406"/>
      <c r="K32" s="406"/>
      <c r="L32" s="406"/>
      <c r="M32" s="406"/>
    </row>
    <row r="33" spans="2:13" x14ac:dyDescent="0.25">
      <c r="B33" s="406" t="s">
        <v>733</v>
      </c>
      <c r="C33" s="410">
        <v>0.77</v>
      </c>
      <c r="D33" s="410">
        <v>0.77</v>
      </c>
      <c r="E33" s="410">
        <v>0.77</v>
      </c>
      <c r="F33" s="410">
        <v>0.77</v>
      </c>
      <c r="G33" s="410">
        <v>0.77</v>
      </c>
      <c r="H33" s="406"/>
      <c r="I33" s="406"/>
      <c r="J33" s="406"/>
      <c r="K33" s="406"/>
      <c r="L33" s="406"/>
      <c r="M33" s="406"/>
    </row>
    <row r="34" spans="2:13" x14ac:dyDescent="0.25">
      <c r="B34" s="406" t="s">
        <v>431</v>
      </c>
      <c r="C34" s="412">
        <v>1.1168831168831168</v>
      </c>
      <c r="D34" s="412">
        <v>1.1038961038961039</v>
      </c>
      <c r="E34" s="412">
        <v>0.93506493506493504</v>
      </c>
      <c r="F34" s="412">
        <v>0.88</v>
      </c>
      <c r="G34" s="412">
        <v>0.84415584415584421</v>
      </c>
      <c r="H34" s="409">
        <v>0.9</v>
      </c>
      <c r="I34" s="409">
        <v>1.1000000000000001</v>
      </c>
      <c r="J34" s="409">
        <v>0.9</v>
      </c>
      <c r="K34" s="409">
        <v>1.1000000000000001</v>
      </c>
      <c r="L34" s="408" t="s">
        <v>432</v>
      </c>
      <c r="M34" s="408" t="s">
        <v>433</v>
      </c>
    </row>
    <row r="35" spans="2:13" x14ac:dyDescent="0.25">
      <c r="B35" s="406" t="s">
        <v>434</v>
      </c>
      <c r="C35" s="413">
        <v>75</v>
      </c>
      <c r="D35" s="406">
        <v>75</v>
      </c>
      <c r="E35" s="406">
        <v>75</v>
      </c>
      <c r="F35" s="406">
        <v>75</v>
      </c>
      <c r="G35" s="406">
        <v>75</v>
      </c>
      <c r="H35" s="406"/>
      <c r="I35" s="406"/>
      <c r="J35" s="406"/>
      <c r="K35" s="406"/>
      <c r="L35" s="406"/>
      <c r="M35" s="406"/>
    </row>
    <row r="36" spans="2:13" x14ac:dyDescent="0.25">
      <c r="B36" s="406" t="s">
        <v>435</v>
      </c>
      <c r="C36" s="406">
        <v>25</v>
      </c>
      <c r="D36" s="406">
        <v>25</v>
      </c>
      <c r="E36" s="406">
        <v>25</v>
      </c>
      <c r="F36" s="406">
        <v>25</v>
      </c>
      <c r="G36" s="406">
        <v>25</v>
      </c>
      <c r="H36" s="406"/>
      <c r="I36" s="406"/>
      <c r="J36" s="406"/>
      <c r="K36" s="406"/>
      <c r="L36" s="406"/>
      <c r="M36" s="406"/>
    </row>
    <row r="37" spans="2:13" x14ac:dyDescent="0.25">
      <c r="B37" s="406" t="s">
        <v>436</v>
      </c>
      <c r="C37" s="414">
        <v>5.1948051948051945E-2</v>
      </c>
      <c r="D37" s="414">
        <v>5.1948051948051945E-2</v>
      </c>
      <c r="E37" s="414">
        <v>5.1948051948051945E-2</v>
      </c>
      <c r="F37" s="414">
        <v>5.1948051948051945E-2</v>
      </c>
      <c r="G37" s="414">
        <v>5.1948051948051945E-2</v>
      </c>
      <c r="H37" s="409">
        <v>0.9</v>
      </c>
      <c r="I37" s="409">
        <v>1.1000000000000001</v>
      </c>
      <c r="J37" s="409">
        <v>0.9</v>
      </c>
      <c r="K37" s="409">
        <v>1.1000000000000001</v>
      </c>
      <c r="L37" s="408" t="s">
        <v>437</v>
      </c>
      <c r="M37" s="408">
        <v>7</v>
      </c>
    </row>
    <row r="38" spans="2:13" x14ac:dyDescent="0.25">
      <c r="B38" s="406" t="s">
        <v>438</v>
      </c>
      <c r="C38" s="414">
        <v>0.10389610389610389</v>
      </c>
      <c r="D38" s="414">
        <v>0.10389610389610389</v>
      </c>
      <c r="E38" s="414">
        <v>0.10389610389610389</v>
      </c>
      <c r="F38" s="414">
        <v>0.10389610389610389</v>
      </c>
      <c r="G38" s="414">
        <v>0.10389610389610389</v>
      </c>
      <c r="H38" s="409">
        <v>0.9</v>
      </c>
      <c r="I38" s="409">
        <v>1.1000000000000001</v>
      </c>
      <c r="J38" s="409">
        <v>0.9</v>
      </c>
      <c r="K38" s="409">
        <v>1.1000000000000001</v>
      </c>
      <c r="L38" s="408" t="s">
        <v>437</v>
      </c>
      <c r="M38" s="408">
        <v>7</v>
      </c>
    </row>
    <row r="39" spans="2:13" x14ac:dyDescent="0.25">
      <c r="B39" s="406" t="s">
        <v>744</v>
      </c>
      <c r="C39" s="406">
        <v>0</v>
      </c>
      <c r="D39" s="406">
        <v>0</v>
      </c>
      <c r="E39" s="406">
        <v>0</v>
      </c>
      <c r="F39" s="406">
        <v>0</v>
      </c>
      <c r="G39" s="406">
        <v>0</v>
      </c>
      <c r="H39" s="406"/>
      <c r="I39" s="406"/>
      <c r="J39" s="406"/>
      <c r="K39" s="406"/>
      <c r="L39" s="406"/>
      <c r="M39" s="406"/>
    </row>
    <row r="40" spans="2:13" x14ac:dyDescent="0.25">
      <c r="C40" s="348"/>
    </row>
    <row r="41" spans="2:13" x14ac:dyDescent="0.25">
      <c r="B41" s="350" t="s">
        <v>6</v>
      </c>
      <c r="C41" s="348"/>
    </row>
    <row r="42" spans="2:13" x14ac:dyDescent="0.25">
      <c r="B42" s="349" t="s">
        <v>440</v>
      </c>
      <c r="C42" s="348"/>
    </row>
    <row r="43" spans="2:13" x14ac:dyDescent="0.25">
      <c r="B43" s="349" t="s">
        <v>441</v>
      </c>
      <c r="C43" s="348"/>
    </row>
    <row r="44" spans="2:13" x14ac:dyDescent="0.25">
      <c r="B44" s="349" t="s">
        <v>442</v>
      </c>
      <c r="C44" s="348"/>
    </row>
    <row r="45" spans="2:13" x14ac:dyDescent="0.25">
      <c r="B45" s="349" t="s">
        <v>443</v>
      </c>
      <c r="C45" s="348"/>
    </row>
    <row r="46" spans="2:13" x14ac:dyDescent="0.25">
      <c r="B46" s="349" t="s">
        <v>444</v>
      </c>
    </row>
    <row r="47" spans="2:13" x14ac:dyDescent="0.25">
      <c r="B47" s="349" t="s">
        <v>445</v>
      </c>
    </row>
    <row r="48" spans="2:13" x14ac:dyDescent="0.25">
      <c r="B48" s="349" t="s">
        <v>446</v>
      </c>
    </row>
    <row r="49" spans="1:2" x14ac:dyDescent="0.25">
      <c r="B49" s="349" t="s">
        <v>447</v>
      </c>
    </row>
    <row r="50" spans="1:2" x14ac:dyDescent="0.25">
      <c r="B50" s="349" t="s">
        <v>448</v>
      </c>
    </row>
    <row r="51" spans="1:2" x14ac:dyDescent="0.25">
      <c r="B51" s="349" t="s">
        <v>449</v>
      </c>
    </row>
    <row r="52" spans="1:2" x14ac:dyDescent="0.25">
      <c r="B52" s="349" t="s">
        <v>450</v>
      </c>
    </row>
    <row r="53" spans="1:2" x14ac:dyDescent="0.25">
      <c r="B53" s="349" t="s">
        <v>451</v>
      </c>
    </row>
    <row r="54" spans="1:2" x14ac:dyDescent="0.25">
      <c r="B54" s="349" t="s">
        <v>452</v>
      </c>
    </row>
    <row r="56" spans="1:2" x14ac:dyDescent="0.25">
      <c r="B56" s="350" t="s">
        <v>408</v>
      </c>
    </row>
    <row r="57" spans="1:2" x14ac:dyDescent="0.25">
      <c r="B57" s="349" t="s">
        <v>453</v>
      </c>
    </row>
    <row r="58" spans="1:2" x14ac:dyDescent="0.25">
      <c r="B58" s="349" t="s">
        <v>454</v>
      </c>
    </row>
    <row r="59" spans="1:2" x14ac:dyDescent="0.25">
      <c r="B59" s="349" t="s">
        <v>455</v>
      </c>
    </row>
    <row r="60" spans="1:2" x14ac:dyDescent="0.25">
      <c r="B60" s="349" t="s">
        <v>456</v>
      </c>
    </row>
    <row r="61" spans="1:2" x14ac:dyDescent="0.25">
      <c r="A61" s="349"/>
      <c r="B61" s="349" t="s">
        <v>457</v>
      </c>
    </row>
    <row r="62" spans="1:2" x14ac:dyDescent="0.25">
      <c r="B62" s="349" t="s">
        <v>458</v>
      </c>
    </row>
    <row r="63" spans="1:2" x14ac:dyDescent="0.25">
      <c r="B63" s="349" t="s">
        <v>459</v>
      </c>
    </row>
    <row r="64" spans="1:2" x14ac:dyDescent="0.25">
      <c r="B64" s="349" t="s">
        <v>460</v>
      </c>
    </row>
    <row r="65" spans="2:2" x14ac:dyDescent="0.25">
      <c r="B65" s="349" t="s">
        <v>461</v>
      </c>
    </row>
    <row r="66" spans="2:2" x14ac:dyDescent="0.25">
      <c r="B66" s="349" t="s">
        <v>462</v>
      </c>
    </row>
    <row r="67" spans="2:2" x14ac:dyDescent="0.25">
      <c r="B67" s="349" t="s">
        <v>463</v>
      </c>
    </row>
    <row r="68" spans="2:2" x14ac:dyDescent="0.25">
      <c r="B68" s="349" t="s">
        <v>464</v>
      </c>
    </row>
    <row r="69" spans="2:2" x14ac:dyDescent="0.25">
      <c r="B69" s="349" t="s">
        <v>465</v>
      </c>
    </row>
  </sheetData>
  <mergeCells count="3">
    <mergeCell ref="C2:M2"/>
    <mergeCell ref="H3:I3"/>
    <mergeCell ref="J3:K3"/>
  </mergeCells>
  <hyperlinks>
    <hyperlink ref="B57" r:id="rId1" display="https://www.arb.ca.gov/fuels/lcfs/2a2b/apps/nes-na-tallow-rpt-011414.pdf"/>
    <hyperlink ref="B58" r:id="rId2" display="https://www.epa.gov/sites/production/files/2017-05/documents/reg-geismar-deter-ltr-2017-04-13.pdf"/>
    <hyperlink ref="B59" r:id="rId3" display="https://www.uop.com/wp-content/uploads/2012/12/UOP-Hydrorefining-Green-Diesel-Tech-Paper.pdf"/>
    <hyperlink ref="B60" r:id="rId4" display="https://www.doi.org/10.1002/bbb.1613"/>
    <hyperlink ref="B61" r:id="rId5" display="https://www.neste.com/en/corporate-info/investors/financials"/>
    <hyperlink ref="B62" r:id="rId6" display="https://www.eia.gov/dnav/pet/pet_pri_spt_s1_d.htm"/>
    <hyperlink ref="B63" r:id="rId7" display="http://www.extension.iastate.edu/agdm/energy/xls/d1-15biodieselprofitability.xlsx"/>
    <hyperlink ref="B64" r:id="rId8" display="https://www.intechopen.com/books/hydrogenation/hydroconversion-of-triglycerides-into-green-liquid-fuels"/>
    <hyperlink ref="B65" r:id="rId9" display="https://doi.org/10.1186/s13068-017-0945-3"/>
    <hyperlink ref="B66" r:id="rId10" display="https://doi.org/10.1016/j.seta.2014.01.008"/>
    <hyperlink ref="B67" r:id="rId11" display="https://www.prnewswire.com/news-releases/diamond-green-diesel-to-be-expanded-to-275-million-gallons-annually-300248085.html"/>
    <hyperlink ref="B68" r:id="rId12" display="https://www.neste.com/sites/default/files/attachments/neste_renewable_diesel_handbook.pdf"/>
    <hyperlink ref="B69" r:id="rId13" display="http://platformduurzamebiobrandstoffen.nl/wp-content/uploads/2017/07/2017_SGAB_Cost-of-Biofuels.pdf"/>
    <hyperlink ref="H1" location="Index" display="Back to Index"/>
  </hyperlinks>
  <pageMargins left="0.7" right="0.7" top="0.75" bottom="0.75" header="0.3" footer="0.3"/>
  <pageSetup paperSize="9" orientation="portrait" r:id="rId1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M63"/>
  <sheetViews>
    <sheetView topLeftCell="A28" workbookViewId="0">
      <selection activeCell="B34" sqref="B34:M34"/>
    </sheetView>
  </sheetViews>
  <sheetFormatPr defaultRowHeight="15" x14ac:dyDescent="0.25"/>
  <cols>
    <col min="1" max="1" width="3.140625" customWidth="1"/>
    <col min="2" max="2" width="24.85546875" customWidth="1"/>
    <col min="3" max="12" width="7.5703125" customWidth="1"/>
  </cols>
  <sheetData>
    <row r="1" spans="2:13" x14ac:dyDescent="0.25">
      <c r="H1" s="355" t="s">
        <v>709</v>
      </c>
    </row>
    <row r="2" spans="2:13" ht="15" customHeight="1" x14ac:dyDescent="0.25">
      <c r="B2" s="393" t="s">
        <v>20</v>
      </c>
      <c r="C2" s="658" t="s">
        <v>466</v>
      </c>
      <c r="D2" s="658"/>
      <c r="E2" s="658"/>
      <c r="F2" s="658"/>
      <c r="G2" s="658"/>
      <c r="H2" s="658"/>
      <c r="I2" s="658"/>
      <c r="J2" s="658"/>
      <c r="K2" s="658"/>
      <c r="L2" s="658"/>
      <c r="M2" s="658"/>
    </row>
    <row r="3" spans="2:13" ht="15" customHeight="1" x14ac:dyDescent="0.25">
      <c r="B3" s="393"/>
      <c r="C3" s="393">
        <v>2015</v>
      </c>
      <c r="D3" s="393">
        <v>2020</v>
      </c>
      <c r="E3" s="393">
        <v>2030</v>
      </c>
      <c r="F3" s="393">
        <v>2040</v>
      </c>
      <c r="G3" s="393">
        <v>2050</v>
      </c>
      <c r="H3" s="658" t="s">
        <v>26</v>
      </c>
      <c r="I3" s="658"/>
      <c r="J3" s="658" t="s">
        <v>25</v>
      </c>
      <c r="K3" s="658"/>
      <c r="L3" s="394" t="s">
        <v>19</v>
      </c>
      <c r="M3" s="394" t="s">
        <v>18</v>
      </c>
    </row>
    <row r="4" spans="2:13" x14ac:dyDescent="0.25">
      <c r="B4" s="395"/>
      <c r="C4" s="395"/>
      <c r="D4" s="395"/>
      <c r="E4" s="395"/>
      <c r="F4" s="395"/>
      <c r="G4" s="395"/>
      <c r="H4" s="396" t="s">
        <v>17</v>
      </c>
      <c r="I4" s="396" t="s">
        <v>16</v>
      </c>
      <c r="J4" s="396" t="s">
        <v>17</v>
      </c>
      <c r="K4" s="396" t="s">
        <v>16</v>
      </c>
      <c r="L4" s="396"/>
      <c r="M4" s="396"/>
    </row>
    <row r="5" spans="2:13" x14ac:dyDescent="0.25">
      <c r="B5" s="421" t="s">
        <v>15</v>
      </c>
      <c r="C5" s="398"/>
      <c r="D5" s="398"/>
      <c r="E5" s="398"/>
      <c r="F5" s="398"/>
      <c r="G5" s="398"/>
      <c r="H5" s="398"/>
      <c r="I5" s="398"/>
      <c r="J5" s="398"/>
      <c r="K5" s="398"/>
      <c r="L5" s="399"/>
      <c r="M5" s="400"/>
    </row>
    <row r="6" spans="2:13" x14ac:dyDescent="0.25">
      <c r="B6" s="402" t="s">
        <v>419</v>
      </c>
      <c r="C6" s="402">
        <v>400</v>
      </c>
      <c r="D6" s="402">
        <v>400</v>
      </c>
      <c r="E6" s="402">
        <v>600</v>
      </c>
      <c r="F6" s="402">
        <v>700</v>
      </c>
      <c r="G6" s="402">
        <v>800</v>
      </c>
      <c r="H6" s="403">
        <v>0.5</v>
      </c>
      <c r="I6" s="403">
        <v>2</v>
      </c>
      <c r="J6" s="403">
        <v>0.5</v>
      </c>
      <c r="K6" s="403">
        <v>1</v>
      </c>
      <c r="L6" s="404" t="s">
        <v>420</v>
      </c>
      <c r="M6" s="404"/>
    </row>
    <row r="7" spans="2:13" x14ac:dyDescent="0.25">
      <c r="B7" s="406" t="s">
        <v>421</v>
      </c>
      <c r="C7" s="406">
        <v>580</v>
      </c>
      <c r="D7" s="406">
        <v>580</v>
      </c>
      <c r="E7" s="406">
        <v>875</v>
      </c>
      <c r="F7" s="406">
        <v>1020</v>
      </c>
      <c r="G7" s="406">
        <v>1165</v>
      </c>
      <c r="H7" s="407">
        <v>0.5</v>
      </c>
      <c r="I7" s="407">
        <v>2</v>
      </c>
      <c r="J7" s="407">
        <v>0.5</v>
      </c>
      <c r="K7" s="407">
        <v>1</v>
      </c>
      <c r="L7" s="408" t="s">
        <v>422</v>
      </c>
      <c r="M7" s="408"/>
    </row>
    <row r="8" spans="2:13" x14ac:dyDescent="0.25">
      <c r="B8" s="421" t="s">
        <v>376</v>
      </c>
      <c r="C8" s="398"/>
      <c r="D8" s="398"/>
      <c r="E8" s="398"/>
      <c r="F8" s="398"/>
      <c r="G8" s="398"/>
      <c r="H8" s="398"/>
      <c r="I8" s="398"/>
      <c r="J8" s="398"/>
      <c r="K8" s="398"/>
      <c r="L8" s="399"/>
      <c r="M8" s="400"/>
    </row>
    <row r="9" spans="2:13" x14ac:dyDescent="0.25">
      <c r="B9" s="406" t="s">
        <v>423</v>
      </c>
      <c r="C9" s="406">
        <v>0.77900000000000003</v>
      </c>
      <c r="D9" s="406">
        <v>0.77900000000000003</v>
      </c>
      <c r="E9" s="406">
        <v>0.77900000000000003</v>
      </c>
      <c r="F9" s="406">
        <v>0.77900000000000003</v>
      </c>
      <c r="G9" s="406">
        <v>0.77900000000000003</v>
      </c>
      <c r="H9" s="409">
        <v>0.9</v>
      </c>
      <c r="I9" s="409">
        <v>1.1000000000000001</v>
      </c>
      <c r="J9" s="409">
        <v>0.9</v>
      </c>
      <c r="K9" s="409">
        <v>1.1000000000000001</v>
      </c>
      <c r="L9" s="408" t="s">
        <v>467</v>
      </c>
      <c r="M9" s="408" t="s">
        <v>468</v>
      </c>
    </row>
    <row r="10" spans="2:13" x14ac:dyDescent="0.25">
      <c r="B10" s="406" t="s">
        <v>425</v>
      </c>
      <c r="C10" s="406">
        <v>9.9000000000000005E-2</v>
      </c>
      <c r="D10" s="406">
        <v>9.9000000000000005E-2</v>
      </c>
      <c r="E10" s="406">
        <v>9.9000000000000005E-2</v>
      </c>
      <c r="F10" s="406">
        <v>9.9000000000000005E-2</v>
      </c>
      <c r="G10" s="406">
        <v>9.9000000000000005E-2</v>
      </c>
      <c r="H10" s="409">
        <v>0.9</v>
      </c>
      <c r="I10" s="409">
        <v>1.1000000000000001</v>
      </c>
      <c r="J10" s="409">
        <v>0.9</v>
      </c>
      <c r="K10" s="409">
        <v>1.1000000000000001</v>
      </c>
      <c r="L10" s="408" t="s">
        <v>469</v>
      </c>
      <c r="M10" s="408" t="s">
        <v>468</v>
      </c>
    </row>
    <row r="11" spans="2:13" x14ac:dyDescent="0.25">
      <c r="B11" s="406" t="s">
        <v>427</v>
      </c>
      <c r="C11" s="406">
        <v>3.0000000000000001E-3</v>
      </c>
      <c r="D11" s="406">
        <v>3.0000000000000001E-3</v>
      </c>
      <c r="E11" s="406">
        <v>3.0000000000000001E-3</v>
      </c>
      <c r="F11" s="406">
        <v>3.0000000000000001E-3</v>
      </c>
      <c r="G11" s="406">
        <v>3.0000000000000001E-3</v>
      </c>
      <c r="H11" s="409">
        <v>0.9</v>
      </c>
      <c r="I11" s="409">
        <v>1.1000000000000001</v>
      </c>
      <c r="J11" s="409">
        <v>0.9</v>
      </c>
      <c r="K11" s="409">
        <v>1.1000000000000001</v>
      </c>
      <c r="L11" s="408" t="s">
        <v>467</v>
      </c>
      <c r="M11" s="408" t="s">
        <v>468</v>
      </c>
    </row>
    <row r="12" spans="2:13" x14ac:dyDescent="0.25">
      <c r="B12" s="406" t="s">
        <v>428</v>
      </c>
      <c r="C12" s="406">
        <v>0.11899999999999999</v>
      </c>
      <c r="D12" s="406">
        <v>0.11899999999999999</v>
      </c>
      <c r="E12" s="406">
        <v>0.11899999999999999</v>
      </c>
      <c r="F12" s="406">
        <v>0.11899999999999999</v>
      </c>
      <c r="G12" s="406">
        <v>0.11899999999999999</v>
      </c>
      <c r="H12" s="409">
        <v>0.9</v>
      </c>
      <c r="I12" s="409">
        <v>1.1000000000000001</v>
      </c>
      <c r="J12" s="409">
        <v>0.9</v>
      </c>
      <c r="K12" s="409">
        <v>1.1000000000000001</v>
      </c>
      <c r="L12" s="408" t="s">
        <v>467</v>
      </c>
      <c r="M12" s="408" t="s">
        <v>468</v>
      </c>
    </row>
    <row r="13" spans="2:13" x14ac:dyDescent="0.25">
      <c r="B13" s="421" t="s">
        <v>253</v>
      </c>
      <c r="C13" s="398"/>
      <c r="D13" s="398"/>
      <c r="E13" s="398"/>
      <c r="F13" s="398"/>
      <c r="G13" s="398"/>
      <c r="H13" s="398"/>
      <c r="I13" s="398"/>
      <c r="J13" s="398"/>
      <c r="K13" s="398"/>
      <c r="L13" s="399"/>
      <c r="M13" s="400"/>
    </row>
    <row r="14" spans="2:13" x14ac:dyDescent="0.25">
      <c r="B14" s="406" t="s">
        <v>470</v>
      </c>
      <c r="C14" s="406">
        <v>0.66</v>
      </c>
      <c r="D14" s="406">
        <v>0.66</v>
      </c>
      <c r="E14" s="406">
        <v>0.66</v>
      </c>
      <c r="F14" s="406">
        <v>0.66</v>
      </c>
      <c r="G14" s="406">
        <v>0.66</v>
      </c>
      <c r="H14" s="409">
        <v>0.9</v>
      </c>
      <c r="I14" s="409">
        <v>1.1000000000000001</v>
      </c>
      <c r="J14" s="409">
        <v>0.9</v>
      </c>
      <c r="K14" s="409">
        <v>1.1000000000000001</v>
      </c>
      <c r="L14" s="408" t="s">
        <v>430</v>
      </c>
      <c r="M14" s="408"/>
    </row>
    <row r="15" spans="2:13" x14ac:dyDescent="0.25">
      <c r="B15" s="422" t="s">
        <v>739</v>
      </c>
      <c r="C15" s="423">
        <v>6.5100000000000005E-2</v>
      </c>
      <c r="D15" s="423">
        <v>6.5100000000000005E-2</v>
      </c>
      <c r="E15" s="423">
        <v>6.5100000000000005E-2</v>
      </c>
      <c r="F15" s="423">
        <v>6.5100000000000005E-2</v>
      </c>
      <c r="G15" s="423">
        <v>6.5100000000000005E-2</v>
      </c>
      <c r="H15" s="409">
        <v>0.9</v>
      </c>
      <c r="I15" s="409">
        <v>1.1000000000000001</v>
      </c>
      <c r="J15" s="409">
        <v>0.9</v>
      </c>
      <c r="K15" s="409">
        <v>1.1000000000000001</v>
      </c>
      <c r="L15" s="408" t="s">
        <v>430</v>
      </c>
      <c r="M15" s="408"/>
    </row>
    <row r="16" spans="2:13" x14ac:dyDescent="0.25">
      <c r="B16" s="422" t="s">
        <v>741</v>
      </c>
      <c r="C16" s="423">
        <v>9.2399999999999996E-2</v>
      </c>
      <c r="D16" s="423">
        <v>9.2399999999999996E-2</v>
      </c>
      <c r="E16" s="423">
        <v>9.2399999999999996E-2</v>
      </c>
      <c r="F16" s="423">
        <v>9.2399999999999996E-2</v>
      </c>
      <c r="G16" s="423">
        <v>9.2399999999999996E-2</v>
      </c>
      <c r="H16" s="409">
        <v>0.9</v>
      </c>
      <c r="I16" s="409">
        <v>1.1000000000000001</v>
      </c>
      <c r="J16" s="409">
        <v>0.9</v>
      </c>
      <c r="K16" s="409">
        <v>1.1000000000000001</v>
      </c>
      <c r="L16" s="408" t="s">
        <v>430</v>
      </c>
      <c r="M16" s="408"/>
    </row>
    <row r="17" spans="2:13" x14ac:dyDescent="0.25">
      <c r="B17" s="422" t="s">
        <v>740</v>
      </c>
      <c r="C17" s="423">
        <v>0.1</v>
      </c>
      <c r="D17" s="423">
        <v>0.1</v>
      </c>
      <c r="E17" s="423">
        <v>0.1</v>
      </c>
      <c r="F17" s="423">
        <v>0.1</v>
      </c>
      <c r="G17" s="423">
        <v>0.1</v>
      </c>
      <c r="H17" s="409">
        <v>0.9</v>
      </c>
      <c r="I17" s="409">
        <v>1.1000000000000001</v>
      </c>
      <c r="J17" s="409">
        <v>0.9</v>
      </c>
      <c r="K17" s="409">
        <v>1.1000000000000001</v>
      </c>
      <c r="L17" s="408" t="s">
        <v>430</v>
      </c>
      <c r="M17" s="408"/>
    </row>
    <row r="18" spans="2:13" x14ac:dyDescent="0.25">
      <c r="B18" s="422" t="s">
        <v>742</v>
      </c>
      <c r="C18" s="423">
        <f t="shared" ref="C18:G18" si="0">0.177*0.15</f>
        <v>2.6549999999999997E-2</v>
      </c>
      <c r="D18" s="423">
        <f t="shared" si="0"/>
        <v>2.6549999999999997E-2</v>
      </c>
      <c r="E18" s="423">
        <f t="shared" si="0"/>
        <v>2.6549999999999997E-2</v>
      </c>
      <c r="F18" s="423">
        <f t="shared" si="0"/>
        <v>2.6549999999999997E-2</v>
      </c>
      <c r="G18" s="423">
        <f t="shared" si="0"/>
        <v>2.6549999999999997E-2</v>
      </c>
      <c r="H18" s="409">
        <v>0.9</v>
      </c>
      <c r="I18" s="409">
        <v>1.1000000000000001</v>
      </c>
      <c r="J18" s="409">
        <v>0.9</v>
      </c>
      <c r="K18" s="409">
        <v>1.1000000000000001</v>
      </c>
      <c r="L18" s="408" t="s">
        <v>430</v>
      </c>
      <c r="M18" s="408"/>
    </row>
    <row r="19" spans="2:13" x14ac:dyDescent="0.25">
      <c r="B19" s="421"/>
      <c r="C19" s="398"/>
      <c r="D19" s="398"/>
      <c r="E19" s="398"/>
      <c r="F19" s="398"/>
      <c r="G19" s="398"/>
      <c r="H19" s="398"/>
      <c r="I19" s="398"/>
      <c r="J19" s="398"/>
      <c r="K19" s="398"/>
      <c r="L19" s="399"/>
      <c r="M19" s="400"/>
    </row>
    <row r="20" spans="2:13" x14ac:dyDescent="0.25">
      <c r="B20" s="406" t="s">
        <v>100</v>
      </c>
      <c r="C20" s="406">
        <v>0</v>
      </c>
      <c r="D20" s="406">
        <v>0</v>
      </c>
      <c r="E20" s="406">
        <v>0</v>
      </c>
      <c r="F20" s="406">
        <v>0</v>
      </c>
      <c r="G20" s="406">
        <v>0</v>
      </c>
      <c r="H20" s="406"/>
      <c r="I20" s="406"/>
      <c r="J20" s="406"/>
      <c r="K20" s="406"/>
      <c r="L20" s="408" t="s">
        <v>135</v>
      </c>
      <c r="M20" s="408"/>
    </row>
    <row r="21" spans="2:13" x14ac:dyDescent="0.25">
      <c r="B21" s="406" t="s">
        <v>24</v>
      </c>
      <c r="C21" s="410">
        <v>2</v>
      </c>
      <c r="D21" s="410">
        <v>2</v>
      </c>
      <c r="E21" s="410">
        <v>2</v>
      </c>
      <c r="F21" s="410">
        <v>2</v>
      </c>
      <c r="G21" s="410">
        <v>2</v>
      </c>
      <c r="H21" s="406"/>
      <c r="I21" s="406"/>
      <c r="J21" s="406"/>
      <c r="K21" s="406"/>
      <c r="L21" s="408"/>
      <c r="M21" s="408"/>
    </row>
    <row r="22" spans="2:13" x14ac:dyDescent="0.25">
      <c r="B22" s="406" t="s">
        <v>14</v>
      </c>
      <c r="C22" s="410">
        <v>25</v>
      </c>
      <c r="D22" s="410">
        <v>25</v>
      </c>
      <c r="E22" s="410">
        <v>25</v>
      </c>
      <c r="F22" s="410">
        <v>25</v>
      </c>
      <c r="G22" s="410">
        <v>25</v>
      </c>
      <c r="H22" s="406"/>
      <c r="I22" s="406"/>
      <c r="J22" s="406"/>
      <c r="K22" s="406"/>
      <c r="L22" s="408"/>
      <c r="M22" s="408"/>
    </row>
    <row r="23" spans="2:13" x14ac:dyDescent="0.25">
      <c r="B23" s="406" t="s">
        <v>12</v>
      </c>
      <c r="C23" s="410">
        <v>2</v>
      </c>
      <c r="D23" s="410">
        <v>2</v>
      </c>
      <c r="E23" s="410">
        <v>2</v>
      </c>
      <c r="F23" s="410">
        <v>2</v>
      </c>
      <c r="G23" s="410">
        <v>2</v>
      </c>
      <c r="H23" s="406"/>
      <c r="I23" s="406"/>
      <c r="J23" s="406"/>
      <c r="K23" s="406"/>
      <c r="L23" s="408"/>
      <c r="M23" s="408"/>
    </row>
    <row r="24" spans="2:13" x14ac:dyDescent="0.25">
      <c r="B24" s="421" t="s">
        <v>9</v>
      </c>
      <c r="C24" s="398"/>
      <c r="D24" s="398"/>
      <c r="E24" s="398"/>
      <c r="F24" s="398"/>
      <c r="G24" s="398"/>
      <c r="H24" s="398"/>
      <c r="I24" s="398"/>
      <c r="J24" s="398"/>
      <c r="K24" s="398"/>
      <c r="L24" s="399"/>
      <c r="M24" s="400"/>
    </row>
    <row r="25" spans="2:13" x14ac:dyDescent="0.25">
      <c r="B25" s="406" t="s">
        <v>745</v>
      </c>
      <c r="C25" s="412">
        <v>0.95835199283475159</v>
      </c>
      <c r="D25" s="412">
        <v>0.95835199283475159</v>
      </c>
      <c r="E25" s="412">
        <v>0.81038961038961044</v>
      </c>
      <c r="F25" s="412">
        <v>0.75490196078431382</v>
      </c>
      <c r="G25" s="412">
        <v>0.7134496404882672</v>
      </c>
      <c r="H25" s="407">
        <v>0.5</v>
      </c>
      <c r="I25" s="407">
        <v>1.5</v>
      </c>
      <c r="J25" s="407">
        <v>0.5</v>
      </c>
      <c r="K25" s="407">
        <v>1.5</v>
      </c>
      <c r="L25" s="408" t="s">
        <v>471</v>
      </c>
      <c r="M25" s="408"/>
    </row>
    <row r="26" spans="2:13" x14ac:dyDescent="0.25">
      <c r="B26" s="406" t="s">
        <v>434</v>
      </c>
      <c r="C26" s="413">
        <v>75</v>
      </c>
      <c r="D26" s="406">
        <v>75</v>
      </c>
      <c r="E26" s="406">
        <v>75</v>
      </c>
      <c r="F26" s="406">
        <v>75</v>
      </c>
      <c r="G26" s="406">
        <v>75</v>
      </c>
      <c r="H26" s="406"/>
      <c r="I26" s="406"/>
      <c r="J26" s="406"/>
      <c r="K26" s="406"/>
      <c r="L26" s="408"/>
      <c r="M26" s="408"/>
    </row>
    <row r="27" spans="2:13" x14ac:dyDescent="0.25">
      <c r="B27" s="406" t="s">
        <v>435</v>
      </c>
      <c r="C27" s="413">
        <v>25</v>
      </c>
      <c r="D27" s="406">
        <v>25</v>
      </c>
      <c r="E27" s="406">
        <v>25</v>
      </c>
      <c r="F27" s="406">
        <v>25</v>
      </c>
      <c r="G27" s="406">
        <v>25</v>
      </c>
      <c r="H27" s="406"/>
      <c r="I27" s="406"/>
      <c r="J27" s="406"/>
      <c r="K27" s="406"/>
      <c r="L27" s="408"/>
      <c r="M27" s="408"/>
    </row>
    <row r="28" spans="2:13" x14ac:dyDescent="0.25">
      <c r="B28" s="406" t="s">
        <v>730</v>
      </c>
      <c r="C28" s="414">
        <v>3.5826242722794444E-2</v>
      </c>
      <c r="D28" s="414">
        <v>3.5826242722794444E-2</v>
      </c>
      <c r="E28" s="414">
        <v>3.5621521335807045E-2</v>
      </c>
      <c r="F28" s="414">
        <v>3.5650623885917998E-2</v>
      </c>
      <c r="G28" s="414">
        <v>3.5672482024413352E-2</v>
      </c>
      <c r="H28" s="409">
        <v>0.9</v>
      </c>
      <c r="I28" s="409">
        <v>1.1000000000000001</v>
      </c>
      <c r="J28" s="409">
        <v>0.9</v>
      </c>
      <c r="K28" s="409">
        <v>1.1000000000000001</v>
      </c>
      <c r="L28" s="408" t="s">
        <v>437</v>
      </c>
      <c r="M28" s="408"/>
    </row>
    <row r="29" spans="2:13" x14ac:dyDescent="0.25">
      <c r="B29" s="406" t="s">
        <v>731</v>
      </c>
      <c r="C29" s="414">
        <v>8.5005223145936188</v>
      </c>
      <c r="D29" s="414">
        <v>8.5005223145936188</v>
      </c>
      <c r="E29" s="414">
        <v>8.5005223145936188</v>
      </c>
      <c r="F29" s="414">
        <v>8.5005223145936188</v>
      </c>
      <c r="G29" s="414">
        <v>8.5005223145936188</v>
      </c>
      <c r="H29" s="409">
        <v>0.9</v>
      </c>
      <c r="I29" s="409">
        <v>1.1000000000000001</v>
      </c>
      <c r="J29" s="409">
        <v>0.9</v>
      </c>
      <c r="K29" s="409">
        <v>1.1000000000000001</v>
      </c>
      <c r="L29" s="408" t="s">
        <v>437</v>
      </c>
      <c r="M29" s="408"/>
    </row>
    <row r="30" spans="2:13" x14ac:dyDescent="0.25">
      <c r="B30" s="406" t="s">
        <v>472</v>
      </c>
      <c r="C30" s="406">
        <v>0</v>
      </c>
      <c r="D30" s="406">
        <v>0</v>
      </c>
      <c r="E30" s="406">
        <v>0</v>
      </c>
      <c r="F30" s="406"/>
      <c r="G30" s="406">
        <v>0</v>
      </c>
      <c r="H30" s="406"/>
      <c r="I30" s="406"/>
      <c r="J30" s="406"/>
      <c r="K30" s="406"/>
      <c r="L30" s="408"/>
      <c r="M30" s="408"/>
    </row>
    <row r="31" spans="2:13" x14ac:dyDescent="0.25">
      <c r="B31" s="421" t="s">
        <v>268</v>
      </c>
      <c r="C31" s="398"/>
      <c r="D31" s="398"/>
      <c r="E31" s="398"/>
      <c r="F31" s="398"/>
      <c r="G31" s="398"/>
      <c r="H31" s="398"/>
      <c r="I31" s="398"/>
      <c r="J31" s="398"/>
      <c r="K31" s="398"/>
      <c r="L31" s="399"/>
      <c r="M31" s="400"/>
    </row>
    <row r="32" spans="2:13" x14ac:dyDescent="0.25">
      <c r="B32" s="406" t="s">
        <v>439</v>
      </c>
      <c r="C32" s="410">
        <v>44</v>
      </c>
      <c r="D32" s="410">
        <v>44</v>
      </c>
      <c r="E32" s="410">
        <v>44</v>
      </c>
      <c r="F32" s="410">
        <v>44</v>
      </c>
      <c r="G32" s="410">
        <v>44</v>
      </c>
      <c r="H32" s="406"/>
      <c r="I32" s="406"/>
      <c r="J32" s="406"/>
      <c r="K32" s="406"/>
      <c r="L32" s="408"/>
      <c r="M32" s="408"/>
    </row>
    <row r="33" spans="2:13" x14ac:dyDescent="0.25">
      <c r="B33" s="406" t="s">
        <v>733</v>
      </c>
      <c r="C33" s="410">
        <v>0.77</v>
      </c>
      <c r="D33" s="410">
        <v>0.77</v>
      </c>
      <c r="E33" s="410">
        <v>0.77</v>
      </c>
      <c r="F33" s="410">
        <v>0.77</v>
      </c>
      <c r="G33" s="410">
        <v>0.77</v>
      </c>
      <c r="H33" s="406"/>
      <c r="I33" s="406"/>
      <c r="J33" s="406"/>
      <c r="K33" s="406"/>
      <c r="L33" s="406"/>
      <c r="M33" s="406"/>
    </row>
    <row r="34" spans="2:13" x14ac:dyDescent="0.25">
      <c r="B34" s="406" t="s">
        <v>746</v>
      </c>
      <c r="C34" s="412">
        <v>1.3896103896103897</v>
      </c>
      <c r="D34" s="412">
        <v>1.3896103896103897</v>
      </c>
      <c r="E34" s="412">
        <v>1.1818181818181819</v>
      </c>
      <c r="F34" s="412">
        <v>1.1000000000000001</v>
      </c>
      <c r="G34" s="412">
        <v>1.0389610389610391</v>
      </c>
      <c r="H34" s="407">
        <v>0.5</v>
      </c>
      <c r="I34" s="407">
        <v>1.5</v>
      </c>
      <c r="J34" s="407">
        <v>0.5</v>
      </c>
      <c r="K34" s="407">
        <v>1.5</v>
      </c>
      <c r="L34" s="408" t="s">
        <v>471</v>
      </c>
      <c r="M34" s="408"/>
    </row>
    <row r="35" spans="2:13" x14ac:dyDescent="0.25">
      <c r="B35" s="406" t="s">
        <v>747</v>
      </c>
      <c r="C35" s="413">
        <v>75</v>
      </c>
      <c r="D35" s="406">
        <v>75</v>
      </c>
      <c r="E35" s="406">
        <v>75</v>
      </c>
      <c r="F35" s="406">
        <v>75</v>
      </c>
      <c r="G35" s="406">
        <v>75</v>
      </c>
      <c r="H35" s="406"/>
      <c r="I35" s="406"/>
      <c r="J35" s="406"/>
      <c r="K35" s="406"/>
      <c r="L35" s="408"/>
      <c r="M35" s="406"/>
    </row>
    <row r="36" spans="2:13" x14ac:dyDescent="0.25">
      <c r="B36" s="406" t="s">
        <v>435</v>
      </c>
      <c r="C36" s="413">
        <v>25</v>
      </c>
      <c r="D36" s="406">
        <v>25</v>
      </c>
      <c r="E36" s="406">
        <v>25</v>
      </c>
      <c r="F36" s="406">
        <v>25</v>
      </c>
      <c r="G36" s="406">
        <v>25</v>
      </c>
      <c r="H36" s="406"/>
      <c r="I36" s="406"/>
      <c r="J36" s="406"/>
      <c r="K36" s="406"/>
      <c r="L36" s="408"/>
      <c r="M36" s="406"/>
    </row>
    <row r="37" spans="2:13" x14ac:dyDescent="0.25">
      <c r="B37" s="406" t="s">
        <v>436</v>
      </c>
      <c r="C37" s="414">
        <v>5.1948051948051945E-2</v>
      </c>
      <c r="D37" s="414">
        <v>5.1948051948051945E-2</v>
      </c>
      <c r="E37" s="414">
        <v>5.1948051948051945E-2</v>
      </c>
      <c r="F37" s="414">
        <v>5.1948051948051945E-2</v>
      </c>
      <c r="G37" s="414">
        <v>5.1948051948051945E-2</v>
      </c>
      <c r="H37" s="409">
        <v>0.9</v>
      </c>
      <c r="I37" s="409">
        <v>1.1000000000000001</v>
      </c>
      <c r="J37" s="409">
        <v>0.9</v>
      </c>
      <c r="K37" s="409">
        <v>1.1000000000000001</v>
      </c>
      <c r="L37" s="408" t="s">
        <v>437</v>
      </c>
      <c r="M37" s="406"/>
    </row>
    <row r="38" spans="2:13" x14ac:dyDescent="0.25">
      <c r="B38" s="406" t="s">
        <v>438</v>
      </c>
      <c r="C38" s="414">
        <v>0.10389610389610389</v>
      </c>
      <c r="D38" s="414">
        <v>0.10389610389610389</v>
      </c>
      <c r="E38" s="414">
        <v>0.10389610389610389</v>
      </c>
      <c r="F38" s="414">
        <v>0.10389610389610389</v>
      </c>
      <c r="G38" s="414">
        <v>0.10389610389610389</v>
      </c>
      <c r="H38" s="409">
        <v>0.9</v>
      </c>
      <c r="I38" s="409">
        <v>1.1000000000000001</v>
      </c>
      <c r="J38" s="409">
        <v>0.9</v>
      </c>
      <c r="K38" s="409">
        <v>1.1000000000000001</v>
      </c>
      <c r="L38" s="408" t="s">
        <v>437</v>
      </c>
      <c r="M38" s="406"/>
    </row>
    <row r="39" spans="2:13" x14ac:dyDescent="0.25">
      <c r="B39" s="406" t="s">
        <v>744</v>
      </c>
      <c r="C39" s="406">
        <v>0</v>
      </c>
      <c r="D39" s="406">
        <v>0</v>
      </c>
      <c r="E39" s="406">
        <v>0</v>
      </c>
      <c r="F39" s="406">
        <v>0</v>
      </c>
      <c r="G39" s="406">
        <v>0</v>
      </c>
      <c r="H39" s="406"/>
      <c r="I39" s="406"/>
      <c r="J39" s="406"/>
      <c r="K39" s="406"/>
      <c r="L39" s="408"/>
      <c r="M39" s="406"/>
    </row>
    <row r="41" spans="2:13" x14ac:dyDescent="0.25">
      <c r="B41" s="350" t="s">
        <v>6</v>
      </c>
    </row>
    <row r="42" spans="2:13" x14ac:dyDescent="0.25">
      <c r="B42" s="349" t="s">
        <v>473</v>
      </c>
    </row>
    <row r="43" spans="2:13" x14ac:dyDescent="0.25">
      <c r="B43" s="349" t="s">
        <v>441</v>
      </c>
    </row>
    <row r="44" spans="2:13" x14ac:dyDescent="0.25">
      <c r="B44" s="349" t="s">
        <v>442</v>
      </c>
    </row>
    <row r="45" spans="2:13" x14ac:dyDescent="0.25">
      <c r="B45" s="349" t="s">
        <v>474</v>
      </c>
    </row>
    <row r="46" spans="2:13" x14ac:dyDescent="0.25">
      <c r="B46" s="349" t="s">
        <v>444</v>
      </c>
    </row>
    <row r="47" spans="2:13" x14ac:dyDescent="0.25">
      <c r="B47" s="349" t="s">
        <v>445</v>
      </c>
    </row>
    <row r="48" spans="2:13" x14ac:dyDescent="0.25">
      <c r="B48" s="349" t="s">
        <v>446</v>
      </c>
    </row>
    <row r="49" spans="2:2" x14ac:dyDescent="0.25">
      <c r="B49" s="349" t="s">
        <v>447</v>
      </c>
    </row>
    <row r="50" spans="2:2" x14ac:dyDescent="0.25">
      <c r="B50" s="349" t="s">
        <v>448</v>
      </c>
    </row>
    <row r="51" spans="2:2" x14ac:dyDescent="0.25">
      <c r="B51" s="349" t="s">
        <v>449</v>
      </c>
    </row>
    <row r="52" spans="2:2" x14ac:dyDescent="0.25">
      <c r="B52" s="349" t="s">
        <v>450</v>
      </c>
    </row>
    <row r="53" spans="2:2" x14ac:dyDescent="0.25">
      <c r="B53" s="349" t="s">
        <v>451</v>
      </c>
    </row>
    <row r="54" spans="2:2" x14ac:dyDescent="0.25">
      <c r="B54" s="349" t="s">
        <v>475</v>
      </c>
    </row>
    <row r="56" spans="2:2" x14ac:dyDescent="0.25">
      <c r="B56" s="350" t="s">
        <v>408</v>
      </c>
    </row>
    <row r="57" spans="2:2" x14ac:dyDescent="0.25">
      <c r="B57" s="349" t="s">
        <v>476</v>
      </c>
    </row>
    <row r="58" spans="2:2" x14ac:dyDescent="0.25">
      <c r="B58" s="349" t="s">
        <v>477</v>
      </c>
    </row>
    <row r="59" spans="2:2" x14ac:dyDescent="0.25">
      <c r="B59" s="349" t="s">
        <v>478</v>
      </c>
    </row>
    <row r="60" spans="2:2" x14ac:dyDescent="0.25">
      <c r="B60" s="349" t="s">
        <v>479</v>
      </c>
    </row>
    <row r="61" spans="2:2" x14ac:dyDescent="0.25">
      <c r="B61" s="349" t="s">
        <v>480</v>
      </c>
    </row>
    <row r="62" spans="2:2" x14ac:dyDescent="0.25">
      <c r="B62" s="349" t="s">
        <v>481</v>
      </c>
    </row>
    <row r="63" spans="2:2" x14ac:dyDescent="0.25">
      <c r="B63" s="349" t="s">
        <v>482</v>
      </c>
    </row>
  </sheetData>
  <mergeCells count="3">
    <mergeCell ref="C2:M2"/>
    <mergeCell ref="H3:I3"/>
    <mergeCell ref="J3:K3"/>
  </mergeCells>
  <hyperlinks>
    <hyperlink ref="B57" r:id="rId1" display="https://energy.gov/sites/prod/files/2017/07/f35/BETO_2017WTE-Workshop_BryanSherbacow-AltAir.pdf"/>
    <hyperlink ref="B58" r:id="rId2" display="https://dspace.library.uu.nl/bitstream/handle/1874/347665/MSc Thesis K.Y Antonissen%2c May 2016 %281%29.pdf?sequence=2&amp;isAllowed=y"/>
    <hyperlink ref="B59" r:id="rId3" display="https://doi.org/10.1186/s13068-017-0739-7"/>
    <hyperlink ref="B60" r:id="rId4" display="https://doi.org/10.1186/s13068-017-0945-3"/>
    <hyperlink ref="B61" r:id="rId5" display="https://doi.org/10.2516/ogst/2014007"/>
    <hyperlink ref="B62" r:id="rId6" display="http://web.mit.edu/aeroastro/partner/reports/proj28/partner-proj28-2010-001.pdf"/>
    <hyperlink ref="B63" r:id="rId7" display="https://www.doi.org/10.1002/bbb.1613"/>
    <hyperlink ref="H1" location="Index" display="Back to Index"/>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M63"/>
  <sheetViews>
    <sheetView topLeftCell="A22" workbookViewId="0">
      <selection activeCell="B30" sqref="B30:M30"/>
    </sheetView>
  </sheetViews>
  <sheetFormatPr defaultRowHeight="15" x14ac:dyDescent="0.25"/>
  <cols>
    <col min="1" max="1" width="2.85546875" customWidth="1"/>
    <col min="2" max="2" width="24.42578125" customWidth="1"/>
    <col min="3" max="12" width="7.28515625" customWidth="1"/>
  </cols>
  <sheetData>
    <row r="1" spans="2:13" x14ac:dyDescent="0.25">
      <c r="H1" s="355" t="s">
        <v>709</v>
      </c>
    </row>
    <row r="2" spans="2:13" ht="15" customHeight="1" x14ac:dyDescent="0.25">
      <c r="B2" s="393" t="s">
        <v>20</v>
      </c>
      <c r="C2" s="658" t="s">
        <v>748</v>
      </c>
      <c r="D2" s="658"/>
      <c r="E2" s="658"/>
      <c r="F2" s="658"/>
      <c r="G2" s="658"/>
      <c r="H2" s="658"/>
      <c r="I2" s="658"/>
      <c r="J2" s="658"/>
      <c r="K2" s="658"/>
      <c r="L2" s="658"/>
      <c r="M2" s="658"/>
    </row>
    <row r="3" spans="2:13" ht="15" customHeight="1" x14ac:dyDescent="0.25">
      <c r="B3" s="393"/>
      <c r="C3" s="393">
        <v>2015</v>
      </c>
      <c r="D3" s="393">
        <v>2020</v>
      </c>
      <c r="E3" s="393">
        <v>2030</v>
      </c>
      <c r="F3" s="393">
        <v>2040</v>
      </c>
      <c r="G3" s="393">
        <v>2050</v>
      </c>
      <c r="H3" s="658" t="s">
        <v>26</v>
      </c>
      <c r="I3" s="658"/>
      <c r="J3" s="658" t="s">
        <v>25</v>
      </c>
      <c r="K3" s="658"/>
      <c r="L3" s="394" t="s">
        <v>19</v>
      </c>
      <c r="M3" s="394" t="s">
        <v>18</v>
      </c>
    </row>
    <row r="4" spans="2:13" x14ac:dyDescent="0.25">
      <c r="B4" s="395"/>
      <c r="C4" s="395"/>
      <c r="D4" s="395"/>
      <c r="E4" s="395"/>
      <c r="F4" s="395"/>
      <c r="G4" s="395"/>
      <c r="H4" s="396" t="s">
        <v>17</v>
      </c>
      <c r="I4" s="396" t="s">
        <v>16</v>
      </c>
      <c r="J4" s="396" t="s">
        <v>17</v>
      </c>
      <c r="K4" s="396" t="s">
        <v>16</v>
      </c>
      <c r="L4" s="396"/>
      <c r="M4" s="396"/>
    </row>
    <row r="5" spans="2:13" x14ac:dyDescent="0.25">
      <c r="B5" s="421" t="s">
        <v>15</v>
      </c>
      <c r="C5" s="398"/>
      <c r="D5" s="398"/>
      <c r="E5" s="398"/>
      <c r="F5" s="398"/>
      <c r="G5" s="398"/>
      <c r="H5" s="398"/>
      <c r="I5" s="398"/>
      <c r="J5" s="398"/>
      <c r="K5" s="398"/>
      <c r="L5" s="399"/>
      <c r="M5" s="400"/>
    </row>
    <row r="6" spans="2:13" x14ac:dyDescent="0.25">
      <c r="B6" s="402" t="s">
        <v>483</v>
      </c>
      <c r="C6" s="402">
        <v>320</v>
      </c>
      <c r="D6" s="402">
        <v>320</v>
      </c>
      <c r="E6" s="402">
        <v>400</v>
      </c>
      <c r="F6" s="402">
        <v>450</v>
      </c>
      <c r="G6" s="402">
        <v>500</v>
      </c>
      <c r="H6" s="403">
        <v>0.5</v>
      </c>
      <c r="I6" s="403">
        <v>1.2</v>
      </c>
      <c r="J6" s="403">
        <v>0.6</v>
      </c>
      <c r="K6" s="403">
        <v>1</v>
      </c>
      <c r="L6" s="404" t="s">
        <v>420</v>
      </c>
      <c r="M6" s="404">
        <v>11</v>
      </c>
    </row>
    <row r="7" spans="2:13" x14ac:dyDescent="0.25">
      <c r="B7" s="406" t="s">
        <v>484</v>
      </c>
      <c r="C7" s="406">
        <v>280</v>
      </c>
      <c r="D7" s="406">
        <v>280</v>
      </c>
      <c r="E7" s="406">
        <v>350</v>
      </c>
      <c r="F7" s="406">
        <v>400</v>
      </c>
      <c r="G7" s="406">
        <v>440</v>
      </c>
      <c r="H7" s="407">
        <v>0.5</v>
      </c>
      <c r="I7" s="407">
        <v>1.2</v>
      </c>
      <c r="J7" s="407">
        <v>0.6</v>
      </c>
      <c r="K7" s="407">
        <v>1</v>
      </c>
      <c r="L7" s="408" t="s">
        <v>420</v>
      </c>
      <c r="M7" s="408"/>
    </row>
    <row r="8" spans="2:13" x14ac:dyDescent="0.25">
      <c r="B8" s="421" t="s">
        <v>376</v>
      </c>
      <c r="C8" s="398"/>
      <c r="D8" s="398"/>
      <c r="E8" s="398"/>
      <c r="F8" s="398"/>
      <c r="G8" s="398"/>
      <c r="H8" s="398"/>
      <c r="I8" s="398"/>
      <c r="J8" s="398"/>
      <c r="K8" s="398"/>
      <c r="L8" s="399"/>
      <c r="M8" s="400"/>
    </row>
    <row r="9" spans="2:13" x14ac:dyDescent="0.25">
      <c r="B9" s="406" t="s">
        <v>485</v>
      </c>
      <c r="C9" s="406">
        <v>0.83</v>
      </c>
      <c r="D9" s="406">
        <v>0.83</v>
      </c>
      <c r="E9" s="406">
        <v>0.84</v>
      </c>
      <c r="F9" s="406">
        <v>0.85</v>
      </c>
      <c r="G9" s="406">
        <v>0.85</v>
      </c>
      <c r="H9" s="409">
        <v>0.98</v>
      </c>
      <c r="I9" s="409">
        <v>1.05</v>
      </c>
      <c r="J9" s="409">
        <v>0.98</v>
      </c>
      <c r="K9" s="409">
        <v>1.02</v>
      </c>
      <c r="L9" s="408" t="s">
        <v>3</v>
      </c>
      <c r="M9" s="408"/>
    </row>
    <row r="10" spans="2:13" x14ac:dyDescent="0.25">
      <c r="B10" s="406" t="s">
        <v>381</v>
      </c>
      <c r="C10" s="406">
        <v>0.02</v>
      </c>
      <c r="D10" s="406">
        <v>0.02</v>
      </c>
      <c r="E10" s="406">
        <v>0.02</v>
      </c>
      <c r="F10" s="406">
        <v>0.02</v>
      </c>
      <c r="G10" s="406">
        <v>0.02</v>
      </c>
      <c r="H10" s="409">
        <v>0.75</v>
      </c>
      <c r="I10" s="409">
        <v>1.25</v>
      </c>
      <c r="J10" s="409">
        <v>0.75</v>
      </c>
      <c r="K10" s="409">
        <v>1.25</v>
      </c>
      <c r="L10" s="408" t="s">
        <v>2</v>
      </c>
      <c r="M10" s="408"/>
    </row>
    <row r="11" spans="2:13" x14ac:dyDescent="0.25">
      <c r="B11" s="406" t="s">
        <v>382</v>
      </c>
      <c r="C11" s="406">
        <v>0.15</v>
      </c>
      <c r="D11" s="406">
        <v>0.15</v>
      </c>
      <c r="E11" s="406">
        <v>0.14000000000000001</v>
      </c>
      <c r="F11" s="406">
        <v>0.13</v>
      </c>
      <c r="G11" s="406">
        <v>0.13</v>
      </c>
      <c r="H11" s="409">
        <v>0.75</v>
      </c>
      <c r="I11" s="409">
        <v>1.25</v>
      </c>
      <c r="J11" s="409">
        <v>0.75</v>
      </c>
      <c r="K11" s="409">
        <v>1.25</v>
      </c>
      <c r="L11" s="408" t="s">
        <v>2</v>
      </c>
      <c r="M11" s="408"/>
    </row>
    <row r="12" spans="2:13" x14ac:dyDescent="0.25">
      <c r="B12" s="393" t="s">
        <v>253</v>
      </c>
      <c r="C12" s="406"/>
      <c r="D12" s="406"/>
      <c r="E12" s="406"/>
      <c r="F12" s="406"/>
      <c r="G12" s="406"/>
      <c r="H12" s="409"/>
      <c r="I12" s="409"/>
      <c r="J12" s="409"/>
      <c r="K12" s="409"/>
      <c r="L12" s="408"/>
      <c r="M12" s="408"/>
    </row>
    <row r="13" spans="2:13" x14ac:dyDescent="0.25">
      <c r="B13" s="406" t="s">
        <v>486</v>
      </c>
      <c r="C13" s="406">
        <v>0.46</v>
      </c>
      <c r="D13" s="406">
        <v>46</v>
      </c>
      <c r="E13" s="406">
        <v>0.47</v>
      </c>
      <c r="F13" s="406">
        <v>0.47</v>
      </c>
      <c r="G13" s="406">
        <v>0.47</v>
      </c>
      <c r="H13" s="406">
        <v>0.95</v>
      </c>
      <c r="I13" s="406">
        <v>1.02</v>
      </c>
      <c r="J13" s="406">
        <v>0.95</v>
      </c>
      <c r="K13" s="406">
        <v>1.02</v>
      </c>
      <c r="L13" s="408" t="s">
        <v>322</v>
      </c>
      <c r="M13" s="408"/>
    </row>
    <row r="14" spans="2:13" x14ac:dyDescent="0.25">
      <c r="B14" s="406" t="s">
        <v>487</v>
      </c>
      <c r="C14" s="406">
        <v>0.28999999999999998</v>
      </c>
      <c r="D14" s="406">
        <v>0.27</v>
      </c>
      <c r="E14" s="406">
        <v>0.28000000000000003</v>
      </c>
      <c r="F14" s="406">
        <v>0.25</v>
      </c>
      <c r="G14" s="406">
        <v>0.25</v>
      </c>
      <c r="H14" s="409">
        <v>0.98</v>
      </c>
      <c r="I14" s="409">
        <v>1.05</v>
      </c>
      <c r="J14" s="409">
        <v>0.98</v>
      </c>
      <c r="K14" s="409">
        <v>1.02</v>
      </c>
      <c r="L14" s="408" t="s">
        <v>322</v>
      </c>
      <c r="M14" s="408"/>
    </row>
    <row r="15" spans="2:13" x14ac:dyDescent="0.25">
      <c r="B15" s="421"/>
      <c r="C15" s="398"/>
      <c r="D15" s="398"/>
      <c r="E15" s="398"/>
      <c r="F15" s="398"/>
      <c r="G15" s="398"/>
      <c r="H15" s="398"/>
      <c r="I15" s="398"/>
      <c r="J15" s="398"/>
      <c r="K15" s="398"/>
      <c r="L15" s="399"/>
      <c r="M15" s="400"/>
    </row>
    <row r="16" spans="2:13" x14ac:dyDescent="0.25">
      <c r="B16" s="406" t="s">
        <v>100</v>
      </c>
      <c r="C16" s="406">
        <v>0</v>
      </c>
      <c r="D16" s="406">
        <v>0</v>
      </c>
      <c r="E16" s="406">
        <v>0</v>
      </c>
      <c r="F16" s="406">
        <v>0</v>
      </c>
      <c r="G16" s="406">
        <v>0</v>
      </c>
      <c r="H16" s="406"/>
      <c r="I16" s="406"/>
      <c r="J16" s="406"/>
      <c r="K16" s="406"/>
      <c r="L16" s="408"/>
      <c r="M16" s="408"/>
    </row>
    <row r="17" spans="2:13" x14ac:dyDescent="0.25">
      <c r="B17" s="406" t="s">
        <v>24</v>
      </c>
      <c r="C17" s="406">
        <v>2</v>
      </c>
      <c r="D17" s="406">
        <v>2</v>
      </c>
      <c r="E17" s="406">
        <v>2</v>
      </c>
      <c r="F17" s="406">
        <v>2</v>
      </c>
      <c r="G17" s="406">
        <v>2</v>
      </c>
      <c r="H17" s="406"/>
      <c r="I17" s="406"/>
      <c r="J17" s="406"/>
      <c r="K17" s="406"/>
      <c r="L17" s="408"/>
      <c r="M17" s="408"/>
    </row>
    <row r="18" spans="2:13" x14ac:dyDescent="0.25">
      <c r="B18" s="406" t="s">
        <v>14</v>
      </c>
      <c r="C18" s="410">
        <v>25</v>
      </c>
      <c r="D18" s="410">
        <v>25</v>
      </c>
      <c r="E18" s="410">
        <v>25</v>
      </c>
      <c r="F18" s="410">
        <v>25</v>
      </c>
      <c r="G18" s="410">
        <v>25</v>
      </c>
      <c r="H18" s="406"/>
      <c r="I18" s="406"/>
      <c r="J18" s="406"/>
      <c r="K18" s="406"/>
      <c r="L18" s="408"/>
      <c r="M18" s="408"/>
    </row>
    <row r="19" spans="2:13" x14ac:dyDescent="0.25">
      <c r="B19" s="406" t="s">
        <v>12</v>
      </c>
      <c r="C19" s="413">
        <v>2</v>
      </c>
      <c r="D19" s="413">
        <v>2</v>
      </c>
      <c r="E19" s="413">
        <v>2</v>
      </c>
      <c r="F19" s="413">
        <v>2</v>
      </c>
      <c r="G19" s="413">
        <v>2</v>
      </c>
      <c r="H19" s="406"/>
      <c r="I19" s="406"/>
      <c r="J19" s="406"/>
      <c r="K19" s="406"/>
      <c r="L19" s="408"/>
      <c r="M19" s="408"/>
    </row>
    <row r="20" spans="2:13" x14ac:dyDescent="0.25">
      <c r="B20" s="421" t="s">
        <v>9</v>
      </c>
      <c r="C20" s="398"/>
      <c r="D20" s="398"/>
      <c r="E20" s="398"/>
      <c r="F20" s="398"/>
      <c r="G20" s="398"/>
      <c r="H20" s="398"/>
      <c r="I20" s="398"/>
      <c r="J20" s="398"/>
      <c r="K20" s="398"/>
      <c r="L20" s="399"/>
      <c r="M20" s="400"/>
    </row>
    <row r="21" spans="2:13" x14ac:dyDescent="0.25">
      <c r="B21" s="406" t="s">
        <v>749</v>
      </c>
      <c r="C21" s="412">
        <v>0.73779385171790235</v>
      </c>
      <c r="D21" s="412">
        <v>0.72332730560578651</v>
      </c>
      <c r="E21" s="412">
        <v>0.69439421338155505</v>
      </c>
      <c r="F21" s="412">
        <v>0.66374999999999995</v>
      </c>
      <c r="G21" s="412">
        <v>0.6616800920598388</v>
      </c>
      <c r="H21" s="407">
        <v>0.95</v>
      </c>
      <c r="I21" s="407">
        <v>1.25</v>
      </c>
      <c r="J21" s="407">
        <v>0.95</v>
      </c>
      <c r="K21" s="407">
        <v>1.25</v>
      </c>
      <c r="L21" s="408" t="s">
        <v>489</v>
      </c>
      <c r="M21" s="408">
        <v>10</v>
      </c>
    </row>
    <row r="22" spans="2:13" x14ac:dyDescent="0.25">
      <c r="B22" s="406" t="s">
        <v>434</v>
      </c>
      <c r="C22" s="406">
        <v>75</v>
      </c>
      <c r="D22" s="406">
        <v>75</v>
      </c>
      <c r="E22" s="406">
        <v>75</v>
      </c>
      <c r="F22" s="410">
        <v>75</v>
      </c>
      <c r="G22" s="406">
        <v>75</v>
      </c>
      <c r="H22" s="406"/>
      <c r="I22" s="406"/>
      <c r="J22" s="406"/>
      <c r="K22" s="406"/>
      <c r="L22" s="408"/>
      <c r="M22" s="408"/>
    </row>
    <row r="23" spans="2:13" x14ac:dyDescent="0.25">
      <c r="B23" s="406" t="s">
        <v>435</v>
      </c>
      <c r="C23" s="413">
        <v>25</v>
      </c>
      <c r="D23" s="406">
        <v>25</v>
      </c>
      <c r="E23" s="406">
        <v>25</v>
      </c>
      <c r="F23" s="410">
        <v>25</v>
      </c>
      <c r="G23" s="406">
        <v>25</v>
      </c>
      <c r="H23" s="406"/>
      <c r="I23" s="406"/>
      <c r="J23" s="406"/>
      <c r="K23" s="406"/>
      <c r="L23" s="408"/>
      <c r="M23" s="408"/>
    </row>
    <row r="24" spans="2:13" x14ac:dyDescent="0.25">
      <c r="B24" s="406" t="s">
        <v>750</v>
      </c>
      <c r="C24" s="414">
        <v>6.0759493670886074E-2</v>
      </c>
      <c r="D24" s="414">
        <v>6.0759493670886074E-2</v>
      </c>
      <c r="E24" s="414">
        <v>6.0759493670886074E-2</v>
      </c>
      <c r="F24" s="414">
        <v>6.0759493670886074E-2</v>
      </c>
      <c r="G24" s="414">
        <v>6.0759493670886074E-2</v>
      </c>
      <c r="H24" s="407">
        <v>0.95</v>
      </c>
      <c r="I24" s="407">
        <v>1.25</v>
      </c>
      <c r="J24" s="407">
        <v>0.95</v>
      </c>
      <c r="K24" s="407">
        <v>1.25</v>
      </c>
      <c r="L24" s="408" t="s">
        <v>99</v>
      </c>
      <c r="M24" s="408">
        <v>8</v>
      </c>
    </row>
    <row r="25" spans="2:13" x14ac:dyDescent="0.25">
      <c r="B25" s="406" t="s">
        <v>731</v>
      </c>
      <c r="C25" s="414">
        <v>8.3007194396164632</v>
      </c>
      <c r="D25" s="414">
        <v>8.3007194396164632</v>
      </c>
      <c r="E25" s="414">
        <v>8.3007194396164632</v>
      </c>
      <c r="F25" s="414">
        <v>8.300719439616465</v>
      </c>
      <c r="G25" s="414">
        <v>8.300719439616465</v>
      </c>
      <c r="H25" s="409">
        <v>0.9</v>
      </c>
      <c r="I25" s="409">
        <v>1.1000000000000001</v>
      </c>
      <c r="J25" s="409">
        <v>0.9</v>
      </c>
      <c r="K25" s="409">
        <v>1.1000000000000001</v>
      </c>
      <c r="L25" s="408" t="s">
        <v>492</v>
      </c>
      <c r="M25" s="408">
        <v>8</v>
      </c>
    </row>
    <row r="26" spans="2:13" x14ac:dyDescent="0.25">
      <c r="B26" s="406" t="s">
        <v>493</v>
      </c>
      <c r="C26" s="406">
        <v>0</v>
      </c>
      <c r="D26" s="406">
        <v>0</v>
      </c>
      <c r="E26" s="406">
        <v>0</v>
      </c>
      <c r="F26" s="406">
        <v>0</v>
      </c>
      <c r="G26" s="406">
        <v>0</v>
      </c>
      <c r="H26" s="409"/>
      <c r="I26" s="409"/>
      <c r="J26" s="409"/>
      <c r="K26" s="409"/>
      <c r="L26" s="408" t="s">
        <v>42</v>
      </c>
      <c r="M26" s="408"/>
    </row>
    <row r="27" spans="2:13" x14ac:dyDescent="0.25">
      <c r="B27" s="421" t="s">
        <v>268</v>
      </c>
      <c r="C27" s="398"/>
      <c r="D27" s="398"/>
      <c r="E27" s="398"/>
      <c r="F27" s="398"/>
      <c r="G27" s="398"/>
      <c r="H27" s="398"/>
      <c r="I27" s="398"/>
      <c r="J27" s="398"/>
      <c r="K27" s="398"/>
      <c r="L27" s="399"/>
      <c r="M27" s="400"/>
    </row>
    <row r="28" spans="2:13" x14ac:dyDescent="0.25">
      <c r="B28" s="406" t="s">
        <v>439</v>
      </c>
      <c r="C28" s="410">
        <v>26.9</v>
      </c>
      <c r="D28" s="410">
        <v>26.9</v>
      </c>
      <c r="E28" s="410">
        <v>26.9</v>
      </c>
      <c r="F28" s="410">
        <v>26.9</v>
      </c>
      <c r="G28" s="410">
        <v>26.9</v>
      </c>
      <c r="H28" s="406"/>
      <c r="I28" s="406"/>
      <c r="J28" s="406"/>
      <c r="K28" s="406"/>
      <c r="L28" s="406"/>
      <c r="M28" s="406"/>
    </row>
    <row r="29" spans="2:13" x14ac:dyDescent="0.25">
      <c r="B29" s="406" t="s">
        <v>733</v>
      </c>
      <c r="C29" s="410">
        <v>0.79</v>
      </c>
      <c r="D29" s="410">
        <v>0.79</v>
      </c>
      <c r="E29" s="410">
        <v>0.79</v>
      </c>
      <c r="F29" s="410">
        <v>0.79</v>
      </c>
      <c r="G29" s="410">
        <v>0.79</v>
      </c>
      <c r="H29" s="406"/>
      <c r="I29" s="406"/>
      <c r="J29" s="406"/>
      <c r="K29" s="406"/>
      <c r="L29" s="406"/>
      <c r="M29" s="406"/>
    </row>
    <row r="30" spans="2:13" x14ac:dyDescent="0.25">
      <c r="B30" s="406" t="s">
        <v>488</v>
      </c>
      <c r="C30" s="412">
        <v>0.64556962025316456</v>
      </c>
      <c r="D30" s="412">
        <v>0.63291139240506322</v>
      </c>
      <c r="E30" s="412">
        <v>0.60759493670886067</v>
      </c>
      <c r="F30" s="412">
        <v>0.59</v>
      </c>
      <c r="G30" s="412">
        <v>0.58227848101265822</v>
      </c>
      <c r="H30" s="407">
        <v>0.95</v>
      </c>
      <c r="I30" s="407">
        <v>1.25</v>
      </c>
      <c r="J30" s="407">
        <v>0.95</v>
      </c>
      <c r="K30" s="407">
        <v>1.25</v>
      </c>
      <c r="L30" s="408" t="s">
        <v>489</v>
      </c>
      <c r="M30" s="408">
        <v>10</v>
      </c>
    </row>
    <row r="31" spans="2:13" x14ac:dyDescent="0.25">
      <c r="B31" s="406" t="s">
        <v>434</v>
      </c>
      <c r="C31" s="406">
        <v>75</v>
      </c>
      <c r="D31" s="406">
        <v>75</v>
      </c>
      <c r="E31" s="406">
        <v>75</v>
      </c>
      <c r="F31" s="406">
        <v>75</v>
      </c>
      <c r="G31" s="406">
        <v>75</v>
      </c>
      <c r="H31" s="406"/>
      <c r="I31" s="406"/>
      <c r="J31" s="406"/>
      <c r="K31" s="406"/>
      <c r="L31" s="408"/>
      <c r="M31" s="408"/>
    </row>
    <row r="32" spans="2:13" x14ac:dyDescent="0.25">
      <c r="B32" s="406" t="s">
        <v>435</v>
      </c>
      <c r="C32" s="413">
        <v>25</v>
      </c>
      <c r="D32" s="406">
        <v>25</v>
      </c>
      <c r="E32" s="406">
        <v>25</v>
      </c>
      <c r="F32" s="406">
        <v>25</v>
      </c>
      <c r="G32" s="406">
        <v>25</v>
      </c>
      <c r="H32" s="406"/>
      <c r="I32" s="406"/>
      <c r="J32" s="406"/>
      <c r="K32" s="406"/>
      <c r="L32" s="408"/>
      <c r="M32" s="408"/>
    </row>
    <row r="33" spans="2:13" x14ac:dyDescent="0.25">
      <c r="B33" s="406" t="s">
        <v>490</v>
      </c>
      <c r="C33" s="414">
        <v>6.0759493670886074E-2</v>
      </c>
      <c r="D33" s="414">
        <v>6.0759493670886074E-2</v>
      </c>
      <c r="E33" s="414">
        <v>6.0759493670886074E-2</v>
      </c>
      <c r="F33" s="414">
        <v>6.0759493670886074E-2</v>
      </c>
      <c r="G33" s="414">
        <v>6.0759493670886074E-2</v>
      </c>
      <c r="H33" s="406">
        <v>0.95</v>
      </c>
      <c r="I33" s="407">
        <v>1.25</v>
      </c>
      <c r="J33" s="407">
        <v>0.95</v>
      </c>
      <c r="K33" s="407">
        <v>1.25</v>
      </c>
      <c r="L33" s="408" t="s">
        <v>99</v>
      </c>
      <c r="M33" s="408">
        <v>8</v>
      </c>
    </row>
    <row r="34" spans="2:13" x14ac:dyDescent="0.25">
      <c r="B34" s="406" t="s">
        <v>491</v>
      </c>
      <c r="C34" s="414">
        <v>6.20253164556962E-2</v>
      </c>
      <c r="D34" s="414">
        <v>6.20253164556962E-2</v>
      </c>
      <c r="E34" s="414">
        <v>6.20253164556962E-2</v>
      </c>
      <c r="F34" s="414">
        <v>6.20253164556962E-2</v>
      </c>
      <c r="G34" s="414">
        <v>6.20253164556962E-2</v>
      </c>
      <c r="H34" s="409">
        <v>0.9</v>
      </c>
      <c r="I34" s="409">
        <v>1.1000000000000001</v>
      </c>
      <c r="J34" s="409">
        <v>0.9</v>
      </c>
      <c r="K34" s="409">
        <v>1.1000000000000001</v>
      </c>
      <c r="L34" s="408" t="s">
        <v>492</v>
      </c>
      <c r="M34" s="408">
        <v>8</v>
      </c>
    </row>
    <row r="35" spans="2:13" x14ac:dyDescent="0.25">
      <c r="B35" s="406" t="s">
        <v>493</v>
      </c>
      <c r="C35" s="406">
        <v>0</v>
      </c>
      <c r="D35" s="406">
        <v>0</v>
      </c>
      <c r="E35" s="406">
        <v>0</v>
      </c>
      <c r="F35" s="406">
        <v>0</v>
      </c>
      <c r="G35" s="406">
        <v>0</v>
      </c>
      <c r="H35" s="409"/>
      <c r="I35" s="409"/>
      <c r="J35" s="409"/>
      <c r="K35" s="409"/>
      <c r="L35" s="408" t="s">
        <v>42</v>
      </c>
      <c r="M35" s="408"/>
    </row>
    <row r="37" spans="2:13" x14ac:dyDescent="0.25">
      <c r="B37" s="350" t="s">
        <v>6</v>
      </c>
    </row>
    <row r="38" spans="2:13" x14ac:dyDescent="0.25">
      <c r="B38" s="349" t="s">
        <v>494</v>
      </c>
    </row>
    <row r="39" spans="2:13" x14ac:dyDescent="0.25">
      <c r="B39" s="349" t="s">
        <v>441</v>
      </c>
    </row>
    <row r="40" spans="2:13" x14ac:dyDescent="0.25">
      <c r="B40" s="349" t="s">
        <v>442</v>
      </c>
    </row>
    <row r="41" spans="2:13" x14ac:dyDescent="0.25">
      <c r="B41" s="349" t="s">
        <v>495</v>
      </c>
    </row>
    <row r="42" spans="2:13" x14ac:dyDescent="0.25">
      <c r="B42" s="349" t="s">
        <v>496</v>
      </c>
    </row>
    <row r="43" spans="2:13" x14ac:dyDescent="0.25">
      <c r="B43" s="349" t="s">
        <v>497</v>
      </c>
    </row>
    <row r="44" spans="2:13" x14ac:dyDescent="0.25">
      <c r="B44" s="349" t="s">
        <v>498</v>
      </c>
    </row>
    <row r="45" spans="2:13" x14ac:dyDescent="0.25">
      <c r="B45" s="349" t="s">
        <v>499</v>
      </c>
    </row>
    <row r="46" spans="2:13" x14ac:dyDescent="0.25">
      <c r="B46" s="349" t="s">
        <v>500</v>
      </c>
    </row>
    <row r="47" spans="2:13" x14ac:dyDescent="0.25">
      <c r="B47" s="349" t="s">
        <v>501</v>
      </c>
    </row>
    <row r="48" spans="2:13" x14ac:dyDescent="0.25">
      <c r="B48" s="349" t="s">
        <v>502</v>
      </c>
    </row>
    <row r="50" spans="2:2" x14ac:dyDescent="0.25">
      <c r="B50" s="350" t="s">
        <v>408</v>
      </c>
    </row>
    <row r="51" spans="2:2" x14ac:dyDescent="0.25">
      <c r="B51" s="349" t="s">
        <v>701</v>
      </c>
    </row>
    <row r="52" spans="2:2" x14ac:dyDescent="0.25">
      <c r="B52" s="349" t="s">
        <v>503</v>
      </c>
    </row>
    <row r="53" spans="2:2" x14ac:dyDescent="0.25">
      <c r="B53" s="349" t="s">
        <v>504</v>
      </c>
    </row>
    <row r="54" spans="2:2" x14ac:dyDescent="0.25">
      <c r="B54" s="349" t="s">
        <v>703</v>
      </c>
    </row>
    <row r="55" spans="2:2" x14ac:dyDescent="0.25">
      <c r="B55" s="349" t="s">
        <v>505</v>
      </c>
    </row>
    <row r="56" spans="2:2" x14ac:dyDescent="0.25">
      <c r="B56" s="349" t="s">
        <v>506</v>
      </c>
    </row>
    <row r="57" spans="2:2" x14ac:dyDescent="0.25">
      <c r="B57" s="349" t="s">
        <v>507</v>
      </c>
    </row>
    <row r="58" spans="2:2" x14ac:dyDescent="0.25">
      <c r="B58" s="349" t="s">
        <v>508</v>
      </c>
    </row>
    <row r="59" spans="2:2" x14ac:dyDescent="0.25">
      <c r="B59" s="349" t="s">
        <v>509</v>
      </c>
    </row>
    <row r="60" spans="2:2" x14ac:dyDescent="0.25">
      <c r="B60" s="349" t="s">
        <v>510</v>
      </c>
    </row>
    <row r="61" spans="2:2" x14ac:dyDescent="0.25">
      <c r="B61" s="349" t="s">
        <v>511</v>
      </c>
    </row>
    <row r="62" spans="2:2" x14ac:dyDescent="0.25">
      <c r="B62" s="349" t="s">
        <v>702</v>
      </c>
    </row>
    <row r="63" spans="2:2" x14ac:dyDescent="0.25">
      <c r="B63" s="349" t="s">
        <v>512</v>
      </c>
    </row>
  </sheetData>
  <mergeCells count="3">
    <mergeCell ref="C2:M2"/>
    <mergeCell ref="H3:I3"/>
    <mergeCell ref="J3:K3"/>
  </mergeCells>
  <hyperlinks>
    <hyperlink ref="B52" r:id="rId1" display="https://ens.dk/sites/ens.dk/files/Statistik/energy_statistics_2015.pdf"/>
    <hyperlink ref="B53" r:id="rId2" display="http://epure.org/about-ethanol/fuel-market/fuel-blends/"/>
    <hyperlink ref="B55" r:id="rId3" display="http://naldc.nal.usda.gov/download/22550/PDF"/>
    <hyperlink ref="B56" r:id="rId4" display="http://task39.sites.olt.ubc.ca/files/2013/05/IEA_Bioenergy_Task-39_Improving_carbon_and_energy_balance.pdf"/>
    <hyperlink ref="B57" r:id="rId5" display="http://www.eia.gov/cfapps/ipdbproject/IEDIndex3.cfm?tid=79&amp;pid=79&amp;aid=1"/>
    <hyperlink ref="B58" r:id="rId6" display="http://epure.org/media/1137/state-of-the-industry-report-2014.pdf"/>
    <hyperlink ref="B59" r:id="rId7" display="http://epure.org/media/1610/2016-industry-statistics.pdf"/>
    <hyperlink ref="B60" r:id="rId8" display="http://www.extension.iastate.edu/agdm/energy/xls/d1-10ethanolprofitability.xlsx"/>
    <hyperlink ref="B61" r:id="rId9" display="http://www.capjournal.com/news/ringneck-energy-pouring-cement-building-foundations-for-ethanol-plant-near/article_4ee23aac-adec-11e7-80fb-a7814e744ba7.html"/>
    <hyperlink ref="B63" r:id="rId10" display="http://ringneckenergy.com/wp-content/uploads/2016/12/2015_PPM_w_Exhibits.pdf"/>
    <hyperlink ref="H1" location="Index" display="Back to Index"/>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M57"/>
  <sheetViews>
    <sheetView topLeftCell="A16" workbookViewId="0">
      <selection activeCell="B29" sqref="B29:M29"/>
    </sheetView>
  </sheetViews>
  <sheetFormatPr defaultRowHeight="15" x14ac:dyDescent="0.25"/>
  <cols>
    <col min="1" max="1" width="3.28515625" customWidth="1"/>
    <col min="2" max="2" width="27.140625" customWidth="1"/>
    <col min="3" max="12" width="7.140625" customWidth="1"/>
  </cols>
  <sheetData>
    <row r="1" spans="2:13" x14ac:dyDescent="0.25">
      <c r="H1" s="355" t="s">
        <v>709</v>
      </c>
    </row>
    <row r="2" spans="2:13" ht="15" customHeight="1" x14ac:dyDescent="0.25">
      <c r="B2" s="393" t="s">
        <v>20</v>
      </c>
      <c r="C2" s="660" t="s">
        <v>513</v>
      </c>
      <c r="D2" s="661"/>
      <c r="E2" s="661"/>
      <c r="F2" s="661"/>
      <c r="G2" s="661"/>
      <c r="H2" s="661"/>
      <c r="I2" s="661"/>
      <c r="J2" s="661"/>
      <c r="K2" s="661"/>
      <c r="L2" s="661"/>
      <c r="M2" s="662"/>
    </row>
    <row r="3" spans="2:13" ht="15" customHeight="1" x14ac:dyDescent="0.25">
      <c r="B3" s="393"/>
      <c r="C3" s="393">
        <v>2015</v>
      </c>
      <c r="D3" s="393">
        <v>2020</v>
      </c>
      <c r="E3" s="393">
        <v>2030</v>
      </c>
      <c r="F3" s="393">
        <v>2040</v>
      </c>
      <c r="G3" s="393">
        <v>2050</v>
      </c>
      <c r="H3" s="660" t="s">
        <v>26</v>
      </c>
      <c r="I3" s="662"/>
      <c r="J3" s="660" t="s">
        <v>25</v>
      </c>
      <c r="K3" s="662"/>
      <c r="L3" s="394" t="s">
        <v>19</v>
      </c>
      <c r="M3" s="394" t="s">
        <v>18</v>
      </c>
    </row>
    <row r="4" spans="2:13" x14ac:dyDescent="0.25">
      <c r="B4" s="395"/>
      <c r="C4" s="395"/>
      <c r="D4" s="395"/>
      <c r="E4" s="395"/>
      <c r="F4" s="395"/>
      <c r="G4" s="395"/>
      <c r="H4" s="396" t="s">
        <v>17</v>
      </c>
      <c r="I4" s="396" t="s">
        <v>16</v>
      </c>
      <c r="J4" s="396" t="s">
        <v>17</v>
      </c>
      <c r="K4" s="396" t="s">
        <v>16</v>
      </c>
      <c r="L4" s="396"/>
      <c r="M4" s="396"/>
    </row>
    <row r="5" spans="2:13" x14ac:dyDescent="0.25">
      <c r="B5" s="421" t="s">
        <v>15</v>
      </c>
      <c r="C5" s="398"/>
      <c r="D5" s="398"/>
      <c r="E5" s="398"/>
      <c r="F5" s="398"/>
      <c r="G5" s="398"/>
      <c r="H5" s="398"/>
      <c r="I5" s="398"/>
      <c r="J5" s="398"/>
      <c r="K5" s="398"/>
      <c r="L5" s="399"/>
      <c r="M5" s="400"/>
    </row>
    <row r="6" spans="2:13" x14ac:dyDescent="0.25">
      <c r="B6" s="402" t="s">
        <v>514</v>
      </c>
      <c r="C6" s="402">
        <v>20</v>
      </c>
      <c r="D6" s="402">
        <v>80</v>
      </c>
      <c r="E6" s="402">
        <v>200</v>
      </c>
      <c r="F6" s="402">
        <v>500</v>
      </c>
      <c r="G6" s="402">
        <v>1000</v>
      </c>
      <c r="H6" s="403">
        <v>0.5</v>
      </c>
      <c r="I6" s="403">
        <v>1.25</v>
      </c>
      <c r="J6" s="403">
        <v>0.75</v>
      </c>
      <c r="K6" s="403">
        <v>1.25</v>
      </c>
      <c r="L6" s="404" t="s">
        <v>420</v>
      </c>
      <c r="M6" s="404" t="s">
        <v>515</v>
      </c>
    </row>
    <row r="7" spans="2:13" x14ac:dyDescent="0.25">
      <c r="B7" s="406" t="s">
        <v>516</v>
      </c>
      <c r="C7" s="406">
        <v>10</v>
      </c>
      <c r="D7" s="406">
        <v>40</v>
      </c>
      <c r="E7" s="406">
        <v>105</v>
      </c>
      <c r="F7" s="406">
        <v>265</v>
      </c>
      <c r="G7" s="406">
        <v>520</v>
      </c>
      <c r="H7" s="407">
        <v>0.5</v>
      </c>
      <c r="I7" s="407">
        <v>1.25</v>
      </c>
      <c r="J7" s="407">
        <v>0.75</v>
      </c>
      <c r="K7" s="407">
        <v>1.25</v>
      </c>
      <c r="L7" s="408" t="s">
        <v>422</v>
      </c>
      <c r="M7" s="408" t="s">
        <v>515</v>
      </c>
    </row>
    <row r="8" spans="2:13" x14ac:dyDescent="0.25">
      <c r="B8" s="421" t="s">
        <v>376</v>
      </c>
      <c r="C8" s="398"/>
      <c r="D8" s="398"/>
      <c r="E8" s="398"/>
      <c r="F8" s="398"/>
      <c r="G8" s="398"/>
      <c r="H8" s="398"/>
      <c r="I8" s="398"/>
      <c r="J8" s="398"/>
      <c r="K8" s="398"/>
      <c r="L8" s="399"/>
      <c r="M8" s="400"/>
    </row>
    <row r="9" spans="2:13" x14ac:dyDescent="0.25">
      <c r="B9" s="419" t="s">
        <v>485</v>
      </c>
      <c r="C9" s="419">
        <v>1</v>
      </c>
      <c r="D9" s="419">
        <v>1</v>
      </c>
      <c r="E9" s="419">
        <v>1</v>
      </c>
      <c r="F9" s="419">
        <v>1</v>
      </c>
      <c r="G9" s="419">
        <v>1</v>
      </c>
      <c r="H9" s="424">
        <v>0.9</v>
      </c>
      <c r="I9" s="424">
        <v>1.5</v>
      </c>
      <c r="J9" s="424">
        <v>0.9</v>
      </c>
      <c r="K9" s="424">
        <v>1.25</v>
      </c>
      <c r="L9" s="420" t="s">
        <v>1</v>
      </c>
      <c r="M9" s="420">
        <v>4</v>
      </c>
    </row>
    <row r="10" spans="2:13" x14ac:dyDescent="0.25">
      <c r="B10" s="421" t="s">
        <v>253</v>
      </c>
      <c r="C10" s="398"/>
      <c r="D10" s="398"/>
      <c r="E10" s="398"/>
      <c r="F10" s="398"/>
      <c r="G10" s="398"/>
      <c r="H10" s="425"/>
      <c r="I10" s="425"/>
      <c r="J10" s="425"/>
      <c r="K10" s="425"/>
      <c r="L10" s="399"/>
      <c r="M10" s="400"/>
    </row>
    <row r="11" spans="2:13" x14ac:dyDescent="0.25">
      <c r="B11" s="402" t="s">
        <v>517</v>
      </c>
      <c r="C11" s="402">
        <v>0.6</v>
      </c>
      <c r="D11" s="402">
        <v>0.6</v>
      </c>
      <c r="E11" s="402">
        <v>0.62</v>
      </c>
      <c r="F11" s="402">
        <v>0.64</v>
      </c>
      <c r="G11" s="402">
        <v>0.65</v>
      </c>
      <c r="H11" s="426">
        <v>0.9</v>
      </c>
      <c r="I11" s="426">
        <v>1.1000000000000001</v>
      </c>
      <c r="J11" s="426">
        <v>0.9</v>
      </c>
      <c r="K11" s="426">
        <v>1.1000000000000001</v>
      </c>
      <c r="L11" s="404" t="s">
        <v>1</v>
      </c>
      <c r="M11" s="404">
        <v>4</v>
      </c>
    </row>
    <row r="12" spans="2:13" x14ac:dyDescent="0.25">
      <c r="B12" s="406" t="s">
        <v>751</v>
      </c>
      <c r="C12" s="406">
        <v>0.23200000000000001</v>
      </c>
      <c r="D12" s="406">
        <v>0.23200000000000001</v>
      </c>
      <c r="E12" s="406">
        <v>0.23200000000000001</v>
      </c>
      <c r="F12" s="406">
        <v>0.23200000000000001</v>
      </c>
      <c r="G12" s="406">
        <v>0.23200000000000001</v>
      </c>
      <c r="H12" s="409">
        <v>0.9</v>
      </c>
      <c r="I12" s="409">
        <v>1.1000000000000001</v>
      </c>
      <c r="J12" s="409">
        <v>0.9</v>
      </c>
      <c r="K12" s="409">
        <v>1.1000000000000001</v>
      </c>
      <c r="L12" s="408" t="s">
        <v>1</v>
      </c>
      <c r="M12" s="408">
        <v>4</v>
      </c>
    </row>
    <row r="13" spans="2:13" x14ac:dyDescent="0.25">
      <c r="B13" s="419" t="s">
        <v>752</v>
      </c>
      <c r="C13" s="419">
        <v>1.6E-2</v>
      </c>
      <c r="D13" s="419">
        <v>1.6E-2</v>
      </c>
      <c r="E13" s="419">
        <v>1.6E-2</v>
      </c>
      <c r="F13" s="419">
        <v>1.6E-2</v>
      </c>
      <c r="G13" s="419">
        <v>1.6E-2</v>
      </c>
      <c r="H13" s="419">
        <v>0.9</v>
      </c>
      <c r="I13" s="419">
        <v>1.1000000000000001</v>
      </c>
      <c r="J13" s="419">
        <v>0.9</v>
      </c>
      <c r="K13" s="419">
        <v>1.1000000000000001</v>
      </c>
      <c r="L13" s="420" t="s">
        <v>1</v>
      </c>
      <c r="M13" s="420">
        <v>4</v>
      </c>
    </row>
    <row r="14" spans="2:13" x14ac:dyDescent="0.25">
      <c r="B14" s="427"/>
      <c r="C14" s="398"/>
      <c r="D14" s="398"/>
      <c r="E14" s="398"/>
      <c r="F14" s="398"/>
      <c r="G14" s="398"/>
      <c r="H14" s="425"/>
      <c r="I14" s="425"/>
      <c r="J14" s="425"/>
      <c r="K14" s="425"/>
      <c r="L14" s="399"/>
      <c r="M14" s="400"/>
    </row>
    <row r="15" spans="2:13" x14ac:dyDescent="0.25">
      <c r="B15" s="402" t="s">
        <v>100</v>
      </c>
      <c r="C15" s="402" t="s">
        <v>518</v>
      </c>
      <c r="D15" s="402">
        <v>4</v>
      </c>
      <c r="E15" s="402">
        <v>0</v>
      </c>
      <c r="F15" s="402">
        <v>0</v>
      </c>
      <c r="G15" s="402">
        <v>0</v>
      </c>
      <c r="H15" s="402"/>
      <c r="I15" s="402"/>
      <c r="J15" s="402"/>
      <c r="K15" s="402"/>
      <c r="L15" s="404"/>
      <c r="M15" s="404"/>
    </row>
    <row r="16" spans="2:13" x14ac:dyDescent="0.25">
      <c r="B16" s="406" t="s">
        <v>24</v>
      </c>
      <c r="C16" s="406">
        <v>4</v>
      </c>
      <c r="D16" s="406">
        <v>4</v>
      </c>
      <c r="E16" s="406">
        <v>4</v>
      </c>
      <c r="F16" s="406">
        <v>4</v>
      </c>
      <c r="G16" s="406">
        <v>4</v>
      </c>
      <c r="H16" s="406"/>
      <c r="I16" s="406"/>
      <c r="J16" s="406"/>
      <c r="K16" s="406"/>
      <c r="L16" s="408" t="s">
        <v>3</v>
      </c>
      <c r="M16" s="408">
        <v>8</v>
      </c>
    </row>
    <row r="17" spans="2:13" x14ac:dyDescent="0.25">
      <c r="B17" s="406" t="s">
        <v>14</v>
      </c>
      <c r="C17" s="406">
        <v>25</v>
      </c>
      <c r="D17" s="406">
        <v>25</v>
      </c>
      <c r="E17" s="406">
        <v>25</v>
      </c>
      <c r="F17" s="406">
        <v>25</v>
      </c>
      <c r="G17" s="406">
        <v>25</v>
      </c>
      <c r="H17" s="406"/>
      <c r="I17" s="406"/>
      <c r="J17" s="406"/>
      <c r="K17" s="406"/>
      <c r="L17" s="408"/>
      <c r="M17" s="408"/>
    </row>
    <row r="18" spans="2:13" x14ac:dyDescent="0.25">
      <c r="B18" s="419" t="s">
        <v>12</v>
      </c>
      <c r="C18" s="428">
        <v>2</v>
      </c>
      <c r="D18" s="428">
        <v>2</v>
      </c>
      <c r="E18" s="428">
        <v>2</v>
      </c>
      <c r="F18" s="428">
        <v>2</v>
      </c>
      <c r="G18" s="428">
        <v>2</v>
      </c>
      <c r="H18" s="419"/>
      <c r="I18" s="419"/>
      <c r="J18" s="419"/>
      <c r="K18" s="419"/>
      <c r="L18" s="420"/>
      <c r="M18" s="420"/>
    </row>
    <row r="19" spans="2:13" x14ac:dyDescent="0.25">
      <c r="B19" s="421" t="s">
        <v>9</v>
      </c>
      <c r="C19" s="429"/>
      <c r="D19" s="429"/>
      <c r="E19" s="429"/>
      <c r="F19" s="429"/>
      <c r="G19" s="429"/>
      <c r="H19" s="398"/>
      <c r="I19" s="398"/>
      <c r="J19" s="398"/>
      <c r="K19" s="398"/>
      <c r="L19" s="399"/>
      <c r="M19" s="400"/>
    </row>
    <row r="20" spans="2:13" x14ac:dyDescent="0.25">
      <c r="B20" s="430" t="s">
        <v>753</v>
      </c>
      <c r="C20" s="431">
        <v>2.4</v>
      </c>
      <c r="D20" s="431">
        <v>1.92</v>
      </c>
      <c r="E20" s="431">
        <v>1.1428571428571428</v>
      </c>
      <c r="F20" s="431">
        <v>0.84905660377358494</v>
      </c>
      <c r="G20" s="431">
        <v>0.69230769230769229</v>
      </c>
      <c r="H20" s="402">
        <v>0.75</v>
      </c>
      <c r="I20" s="402">
        <v>1.25</v>
      </c>
      <c r="J20" s="402">
        <v>0.75</v>
      </c>
      <c r="K20" s="402">
        <v>1.25</v>
      </c>
      <c r="L20" s="404" t="s">
        <v>520</v>
      </c>
      <c r="M20" s="404" t="s">
        <v>521</v>
      </c>
    </row>
    <row r="21" spans="2:13" x14ac:dyDescent="0.25">
      <c r="B21" s="406" t="s">
        <v>434</v>
      </c>
      <c r="C21" s="412">
        <v>75</v>
      </c>
      <c r="D21" s="412">
        <v>75</v>
      </c>
      <c r="E21" s="412">
        <v>75</v>
      </c>
      <c r="F21" s="412">
        <v>75</v>
      </c>
      <c r="G21" s="412">
        <v>75</v>
      </c>
      <c r="H21" s="407"/>
      <c r="I21" s="407"/>
      <c r="J21" s="407"/>
      <c r="K21" s="407"/>
      <c r="L21" s="408"/>
      <c r="M21" s="408"/>
    </row>
    <row r="22" spans="2:13" x14ac:dyDescent="0.25">
      <c r="B22" s="406" t="s">
        <v>435</v>
      </c>
      <c r="C22" s="406">
        <v>25</v>
      </c>
      <c r="D22" s="406">
        <v>25</v>
      </c>
      <c r="E22" s="406">
        <v>25</v>
      </c>
      <c r="F22" s="410">
        <v>25</v>
      </c>
      <c r="G22" s="406">
        <v>25</v>
      </c>
      <c r="H22" s="406"/>
      <c r="I22" s="406"/>
      <c r="J22" s="406"/>
      <c r="K22" s="406"/>
      <c r="L22" s="408"/>
      <c r="M22" s="408"/>
    </row>
    <row r="23" spans="2:13" x14ac:dyDescent="0.25">
      <c r="B23" s="406" t="s">
        <v>754</v>
      </c>
      <c r="C23" s="413">
        <v>7.1999999999999995E-2</v>
      </c>
      <c r="D23" s="406">
        <v>7.1999999999999995E-2</v>
      </c>
      <c r="E23" s="414">
        <v>6.8571428571428561E-2</v>
      </c>
      <c r="F23" s="432">
        <v>6.7924528301886791E-2</v>
      </c>
      <c r="G23" s="414">
        <v>6.9230769230769235E-2</v>
      </c>
      <c r="H23" s="406">
        <v>0.75</v>
      </c>
      <c r="I23" s="406">
        <v>1.25</v>
      </c>
      <c r="J23" s="406">
        <v>0.75</v>
      </c>
      <c r="K23" s="406">
        <v>1.25</v>
      </c>
      <c r="L23" s="408" t="s">
        <v>523</v>
      </c>
      <c r="M23" s="408">
        <v>6</v>
      </c>
    </row>
    <row r="24" spans="2:13" x14ac:dyDescent="0.25">
      <c r="B24" s="406" t="s">
        <v>755</v>
      </c>
      <c r="C24" s="412">
        <v>2.7</v>
      </c>
      <c r="D24" s="412">
        <v>2.7</v>
      </c>
      <c r="E24" s="412">
        <v>2.7</v>
      </c>
      <c r="F24" s="412">
        <v>2.7</v>
      </c>
      <c r="G24" s="412">
        <v>2.7</v>
      </c>
      <c r="H24" s="407">
        <v>0.75</v>
      </c>
      <c r="I24" s="407">
        <v>1.25</v>
      </c>
      <c r="J24" s="407">
        <v>0.75</v>
      </c>
      <c r="K24" s="407">
        <v>1.25</v>
      </c>
      <c r="L24" s="408" t="s">
        <v>523</v>
      </c>
      <c r="M24" s="408">
        <v>6</v>
      </c>
    </row>
    <row r="25" spans="2:13" x14ac:dyDescent="0.25">
      <c r="B25" s="419" t="s">
        <v>525</v>
      </c>
      <c r="C25" s="433" t="s">
        <v>518</v>
      </c>
      <c r="D25" s="433">
        <v>0</v>
      </c>
      <c r="E25" s="433">
        <v>0</v>
      </c>
      <c r="F25" s="433"/>
      <c r="G25" s="433">
        <v>0</v>
      </c>
      <c r="H25" s="424"/>
      <c r="I25" s="424"/>
      <c r="J25" s="424"/>
      <c r="K25" s="424"/>
      <c r="L25" s="420"/>
      <c r="M25" s="420"/>
    </row>
    <row r="26" spans="2:13" x14ac:dyDescent="0.25">
      <c r="B26" s="421" t="s">
        <v>268</v>
      </c>
      <c r="C26" s="398"/>
      <c r="D26" s="398"/>
      <c r="E26" s="398"/>
      <c r="F26" s="398"/>
      <c r="G26" s="398"/>
      <c r="H26" s="425"/>
      <c r="I26" s="425"/>
      <c r="J26" s="425"/>
      <c r="K26" s="425"/>
      <c r="L26" s="399"/>
      <c r="M26" s="400"/>
    </row>
    <row r="27" spans="2:13" x14ac:dyDescent="0.25">
      <c r="B27" s="402" t="s">
        <v>526</v>
      </c>
      <c r="C27" s="402">
        <v>16</v>
      </c>
      <c r="D27" s="402">
        <v>16</v>
      </c>
      <c r="E27" s="402">
        <v>16</v>
      </c>
      <c r="F27" s="402">
        <v>16</v>
      </c>
      <c r="G27" s="402">
        <v>16</v>
      </c>
      <c r="H27" s="402"/>
      <c r="I27" s="402"/>
      <c r="J27" s="402"/>
      <c r="K27" s="402"/>
      <c r="L27" s="404"/>
      <c r="M27" s="404"/>
    </row>
    <row r="28" spans="2:13" x14ac:dyDescent="0.25">
      <c r="B28" s="406" t="s">
        <v>733</v>
      </c>
      <c r="C28" s="410">
        <v>1.2</v>
      </c>
      <c r="D28" s="410">
        <v>1.2</v>
      </c>
      <c r="E28" s="410">
        <v>1.2</v>
      </c>
      <c r="F28" s="410">
        <v>1.2</v>
      </c>
      <c r="G28" s="410">
        <v>1.2</v>
      </c>
      <c r="H28" s="406"/>
      <c r="I28" s="406"/>
      <c r="J28" s="406"/>
      <c r="K28" s="406"/>
      <c r="L28" s="406"/>
      <c r="M28" s="406"/>
    </row>
    <row r="29" spans="2:13" x14ac:dyDescent="0.25">
      <c r="B29" s="406" t="s">
        <v>519</v>
      </c>
      <c r="C29" s="410">
        <v>1.2</v>
      </c>
      <c r="D29" s="410">
        <v>0.96</v>
      </c>
      <c r="E29" s="410">
        <v>0.6</v>
      </c>
      <c r="F29" s="410">
        <v>0.45</v>
      </c>
      <c r="G29" s="410">
        <v>0.36</v>
      </c>
      <c r="H29" s="406">
        <v>0.75</v>
      </c>
      <c r="I29" s="406">
        <v>1.25</v>
      </c>
      <c r="J29" s="406">
        <v>0.75</v>
      </c>
      <c r="K29" s="406">
        <v>1.25</v>
      </c>
      <c r="L29" s="406" t="s">
        <v>520</v>
      </c>
      <c r="M29" s="406" t="s">
        <v>521</v>
      </c>
    </row>
    <row r="30" spans="2:13" x14ac:dyDescent="0.25">
      <c r="B30" s="406" t="s">
        <v>434</v>
      </c>
      <c r="C30" s="412">
        <v>75</v>
      </c>
      <c r="D30" s="412">
        <v>75</v>
      </c>
      <c r="E30" s="412">
        <v>75</v>
      </c>
      <c r="F30" s="412">
        <v>75</v>
      </c>
      <c r="G30" s="412">
        <v>75</v>
      </c>
      <c r="H30" s="407"/>
      <c r="I30" s="407"/>
      <c r="J30" s="407"/>
      <c r="K30" s="407"/>
      <c r="L30" s="408"/>
      <c r="M30" s="408"/>
    </row>
    <row r="31" spans="2:13" x14ac:dyDescent="0.25">
      <c r="B31" s="406" t="s">
        <v>435</v>
      </c>
      <c r="C31" s="406">
        <v>25</v>
      </c>
      <c r="D31" s="406">
        <v>25</v>
      </c>
      <c r="E31" s="406">
        <v>25</v>
      </c>
      <c r="F31" s="406">
        <v>25</v>
      </c>
      <c r="G31" s="406">
        <v>25</v>
      </c>
      <c r="H31" s="406"/>
      <c r="I31" s="406"/>
      <c r="J31" s="406"/>
      <c r="K31" s="406"/>
      <c r="L31" s="408"/>
      <c r="M31" s="408"/>
    </row>
    <row r="32" spans="2:13" x14ac:dyDescent="0.25">
      <c r="B32" s="406" t="s">
        <v>522</v>
      </c>
      <c r="C32" s="413">
        <v>3.5999999999999997E-2</v>
      </c>
      <c r="D32" s="406">
        <v>3.5999999999999997E-2</v>
      </c>
      <c r="E32" s="406">
        <v>3.5999999999999997E-2</v>
      </c>
      <c r="F32" s="406">
        <v>3.5999999999999997E-2</v>
      </c>
      <c r="G32" s="406">
        <v>3.5999999999999997E-2</v>
      </c>
      <c r="H32" s="406">
        <v>0.75</v>
      </c>
      <c r="I32" s="406">
        <v>1.25</v>
      </c>
      <c r="J32" s="406">
        <v>0.75</v>
      </c>
      <c r="K32" s="406">
        <v>1.25</v>
      </c>
      <c r="L32" s="408" t="s">
        <v>523</v>
      </c>
      <c r="M32" s="408">
        <v>6</v>
      </c>
    </row>
    <row r="33" spans="2:13" x14ac:dyDescent="0.25">
      <c r="B33" s="406" t="s">
        <v>524</v>
      </c>
      <c r="C33" s="414">
        <v>1.2E-2</v>
      </c>
      <c r="D33" s="414">
        <v>1.2E-2</v>
      </c>
      <c r="E33" s="414">
        <v>1.2E-2</v>
      </c>
      <c r="F33" s="414">
        <v>1.2E-2</v>
      </c>
      <c r="G33" s="414">
        <v>1.2E-2</v>
      </c>
      <c r="H33" s="406">
        <v>0.75</v>
      </c>
      <c r="I33" s="407">
        <v>1.25</v>
      </c>
      <c r="J33" s="407">
        <v>0.75</v>
      </c>
      <c r="K33" s="407">
        <v>1.25</v>
      </c>
      <c r="L33" s="408" t="s">
        <v>523</v>
      </c>
      <c r="M33" s="408">
        <v>6</v>
      </c>
    </row>
    <row r="34" spans="2:13" x14ac:dyDescent="0.25">
      <c r="B34" s="406" t="s">
        <v>525</v>
      </c>
      <c r="C34" s="414" t="s">
        <v>518</v>
      </c>
      <c r="D34" s="414">
        <v>0</v>
      </c>
      <c r="E34" s="414">
        <v>0</v>
      </c>
      <c r="F34" s="414">
        <v>0</v>
      </c>
      <c r="G34" s="414">
        <v>0</v>
      </c>
      <c r="H34" s="409"/>
      <c r="I34" s="409"/>
      <c r="J34" s="409"/>
      <c r="K34" s="409"/>
      <c r="L34" s="408"/>
      <c r="M34" s="408"/>
    </row>
    <row r="35" spans="2:13" x14ac:dyDescent="0.25">
      <c r="B35" s="350" t="s">
        <v>6</v>
      </c>
    </row>
    <row r="36" spans="2:13" x14ac:dyDescent="0.25">
      <c r="B36" s="349" t="s">
        <v>527</v>
      </c>
    </row>
    <row r="37" spans="2:13" x14ac:dyDescent="0.25">
      <c r="B37" s="349" t="s">
        <v>441</v>
      </c>
    </row>
    <row r="38" spans="2:13" x14ac:dyDescent="0.25">
      <c r="B38" s="349" t="s">
        <v>528</v>
      </c>
    </row>
    <row r="39" spans="2:13" x14ac:dyDescent="0.25">
      <c r="B39" s="349" t="s">
        <v>529</v>
      </c>
    </row>
    <row r="40" spans="2:13" x14ac:dyDescent="0.25">
      <c r="B40" s="349" t="s">
        <v>530</v>
      </c>
    </row>
    <row r="41" spans="2:13" x14ac:dyDescent="0.25">
      <c r="B41" s="349" t="s">
        <v>531</v>
      </c>
    </row>
    <row r="42" spans="2:13" x14ac:dyDescent="0.25">
      <c r="B42" s="349" t="s">
        <v>532</v>
      </c>
    </row>
    <row r="43" spans="2:13" x14ac:dyDescent="0.25">
      <c r="B43" s="349" t="s">
        <v>533</v>
      </c>
    </row>
    <row r="45" spans="2:13" x14ac:dyDescent="0.25">
      <c r="B45" s="350" t="s">
        <v>408</v>
      </c>
    </row>
    <row r="46" spans="2:13" x14ac:dyDescent="0.25">
      <c r="B46" s="349" t="s">
        <v>534</v>
      </c>
    </row>
    <row r="47" spans="2:13" x14ac:dyDescent="0.25">
      <c r="B47" s="349" t="s">
        <v>535</v>
      </c>
    </row>
    <row r="48" spans="2:13" x14ac:dyDescent="0.25">
      <c r="B48" s="349" t="s">
        <v>536</v>
      </c>
    </row>
    <row r="49" spans="2:2" x14ac:dyDescent="0.25">
      <c r="B49" s="349" t="s">
        <v>537</v>
      </c>
    </row>
    <row r="50" spans="2:2" x14ac:dyDescent="0.25">
      <c r="B50" s="349" t="s">
        <v>538</v>
      </c>
    </row>
    <row r="51" spans="2:2" x14ac:dyDescent="0.25">
      <c r="B51" s="349" t="s">
        <v>539</v>
      </c>
    </row>
    <row r="52" spans="2:2" x14ac:dyDescent="0.25">
      <c r="B52" s="349" t="s">
        <v>540</v>
      </c>
    </row>
    <row r="53" spans="2:2" x14ac:dyDescent="0.25">
      <c r="B53" s="349" t="s">
        <v>541</v>
      </c>
    </row>
    <row r="54" spans="2:2" x14ac:dyDescent="0.25">
      <c r="B54" s="349" t="s">
        <v>542</v>
      </c>
    </row>
    <row r="55" spans="2:2" x14ac:dyDescent="0.25">
      <c r="B55" s="349" t="s">
        <v>543</v>
      </c>
    </row>
    <row r="56" spans="2:2" x14ac:dyDescent="0.25">
      <c r="B56" s="349" t="s">
        <v>544</v>
      </c>
    </row>
    <row r="57" spans="2:2" x14ac:dyDescent="0.25">
      <c r="B57" s="349" t="s">
        <v>545</v>
      </c>
    </row>
  </sheetData>
  <mergeCells count="3">
    <mergeCell ref="C2:M2"/>
    <mergeCell ref="H3:I3"/>
    <mergeCell ref="J3:K3"/>
  </mergeCells>
  <hyperlinks>
    <hyperlink ref="B46" r:id="rId1" display="http://www.gastechnology.org/tcbiomass/tcb2015/Muggen_Gerhard-Presentation-tcbiomass2015.pdf"/>
    <hyperlink ref="B47" r:id="rId2" display="https://www.btg-btl.com/en/company/projects/empyro"/>
    <hyperlink ref="B48" r:id="rId3" display="https://ec.europa.eu/energy/sites/ener/files/documents/32_dharmesh_mahajan-honeywell.pdf"/>
    <hyperlink ref="B49" r:id="rId4" display="https://doi.org/10.1016/S0146-6380(99)00120-5"/>
    <hyperlink ref="B50" r:id="rId5" display="https://www.btg-btl.com/nieuwsbrieven/2017/november/en"/>
    <hyperlink ref="B51" r:id="rId6" display="https://www.nrel.gov/docs/fy11osti/46586.pdf"/>
    <hyperlink ref="B52" r:id="rId7" display="http://dx.doi.org/10.1080/17597269.2015.1118780"/>
    <hyperlink ref="B53" r:id="rId8" display="https://doi.org/10.1016/j.fuel.2014.11.078"/>
    <hyperlink ref="B54" r:id="rId9" display="http://www.besustainablemagazine.com/cms2/empyro-bv-breaks-ground-of-its-biomass-to-liquid-pyrolysis-plant/"/>
    <hyperlink ref="B55" r:id="rId10" display="https://www.energy.gov/sites/prod/files/2016/10/f33/Graham_0.pdf"/>
    <hyperlink ref="B56" r:id="rId11" display="https://www.btg-btl.com/en/applications/oilproperties"/>
    <hyperlink ref="B57" r:id="rId12" display="http://www.etc-cte.ec.gc.ca/databases/oilproperties/pdf/web_bunker_c_fuel_oil.pdf"/>
    <hyperlink ref="H1" location="Index" display="Back to Index"/>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1:M61"/>
  <sheetViews>
    <sheetView topLeftCell="A13" workbookViewId="0">
      <selection activeCell="B2" sqref="B2:M33"/>
    </sheetView>
  </sheetViews>
  <sheetFormatPr defaultRowHeight="15" x14ac:dyDescent="0.25"/>
  <cols>
    <col min="1" max="1" width="3.28515625" customWidth="1"/>
    <col min="2" max="2" width="24.28515625" customWidth="1"/>
    <col min="3" max="12" width="7.42578125" customWidth="1"/>
  </cols>
  <sheetData>
    <row r="1" spans="2:13" x14ac:dyDescent="0.25">
      <c r="H1" s="355" t="s">
        <v>709</v>
      </c>
    </row>
    <row r="2" spans="2:13" ht="15" customHeight="1" x14ac:dyDescent="0.25">
      <c r="B2" s="393" t="s">
        <v>20</v>
      </c>
      <c r="C2" s="658" t="s">
        <v>546</v>
      </c>
      <c r="D2" s="658"/>
      <c r="E2" s="658"/>
      <c r="F2" s="658"/>
      <c r="G2" s="658"/>
      <c r="H2" s="658"/>
      <c r="I2" s="658"/>
      <c r="J2" s="658"/>
      <c r="K2" s="658"/>
      <c r="L2" s="658"/>
      <c r="M2" s="658"/>
    </row>
    <row r="3" spans="2:13" ht="15" customHeight="1" x14ac:dyDescent="0.25">
      <c r="B3" s="406"/>
      <c r="C3" s="406">
        <v>2015</v>
      </c>
      <c r="D3" s="406">
        <v>2020</v>
      </c>
      <c r="E3" s="406">
        <v>2030</v>
      </c>
      <c r="F3" s="406">
        <v>2040</v>
      </c>
      <c r="G3" s="406">
        <v>2050</v>
      </c>
      <c r="H3" s="659" t="s">
        <v>26</v>
      </c>
      <c r="I3" s="659"/>
      <c r="J3" s="659" t="s">
        <v>25</v>
      </c>
      <c r="K3" s="659"/>
      <c r="L3" s="418" t="s">
        <v>19</v>
      </c>
      <c r="M3" s="418" t="s">
        <v>18</v>
      </c>
    </row>
    <row r="4" spans="2:13" x14ac:dyDescent="0.25">
      <c r="B4" s="419"/>
      <c r="C4" s="419"/>
      <c r="D4" s="419"/>
      <c r="E4" s="419"/>
      <c r="F4" s="419"/>
      <c r="G4" s="419"/>
      <c r="H4" s="420" t="s">
        <v>17</v>
      </c>
      <c r="I4" s="420" t="s">
        <v>16</v>
      </c>
      <c r="J4" s="420" t="s">
        <v>17</v>
      </c>
      <c r="K4" s="420" t="s">
        <v>16</v>
      </c>
      <c r="L4" s="420"/>
      <c r="M4" s="420"/>
    </row>
    <row r="5" spans="2:13" x14ac:dyDescent="0.25">
      <c r="B5" s="421" t="s">
        <v>15</v>
      </c>
      <c r="C5" s="398"/>
      <c r="D5" s="398"/>
      <c r="E5" s="398"/>
      <c r="F5" s="398"/>
      <c r="G5" s="398"/>
      <c r="H5" s="398"/>
      <c r="I5" s="398"/>
      <c r="J5" s="398"/>
      <c r="K5" s="398"/>
      <c r="L5" s="399"/>
      <c r="M5" s="400"/>
    </row>
    <row r="6" spans="2:13" x14ac:dyDescent="0.25">
      <c r="B6" s="402" t="s">
        <v>547</v>
      </c>
      <c r="C6" s="402">
        <v>60</v>
      </c>
      <c r="D6" s="402">
        <v>60</v>
      </c>
      <c r="E6" s="402">
        <v>150</v>
      </c>
      <c r="F6" s="402">
        <v>175</v>
      </c>
      <c r="G6" s="402">
        <v>200</v>
      </c>
      <c r="H6" s="403">
        <v>0.5</v>
      </c>
      <c r="I6" s="403">
        <v>1.5</v>
      </c>
      <c r="J6" s="403">
        <v>0.5</v>
      </c>
      <c r="K6" s="403">
        <v>1.5</v>
      </c>
      <c r="L6" s="404" t="s">
        <v>420</v>
      </c>
      <c r="M6" s="404">
        <v>9</v>
      </c>
    </row>
    <row r="7" spans="2:13" x14ac:dyDescent="0.25">
      <c r="B7" s="419" t="s">
        <v>548</v>
      </c>
      <c r="C7" s="419">
        <v>55</v>
      </c>
      <c r="D7" s="419">
        <v>55</v>
      </c>
      <c r="E7" s="419">
        <v>130</v>
      </c>
      <c r="F7" s="419">
        <v>155</v>
      </c>
      <c r="G7" s="419">
        <v>180</v>
      </c>
      <c r="H7" s="434">
        <v>0.5</v>
      </c>
      <c r="I7" s="434">
        <v>1.5</v>
      </c>
      <c r="J7" s="434">
        <v>0.5</v>
      </c>
      <c r="K7" s="434">
        <v>1.5</v>
      </c>
      <c r="L7" s="420" t="s">
        <v>422</v>
      </c>
      <c r="M7" s="420">
        <v>9</v>
      </c>
    </row>
    <row r="8" spans="2:13" x14ac:dyDescent="0.25">
      <c r="B8" s="421" t="s">
        <v>376</v>
      </c>
      <c r="C8" s="398"/>
      <c r="D8" s="398"/>
      <c r="E8" s="398"/>
      <c r="F8" s="398"/>
      <c r="G8" s="398"/>
      <c r="H8" s="398"/>
      <c r="I8" s="398"/>
      <c r="J8" s="398"/>
      <c r="K8" s="398"/>
      <c r="L8" s="399"/>
      <c r="M8" s="400"/>
    </row>
    <row r="9" spans="2:13" x14ac:dyDescent="0.25">
      <c r="B9" s="435" t="s">
        <v>485</v>
      </c>
      <c r="C9" s="436">
        <v>1</v>
      </c>
      <c r="D9" s="436">
        <v>1</v>
      </c>
      <c r="E9" s="436">
        <v>1</v>
      </c>
      <c r="F9" s="436">
        <v>1</v>
      </c>
      <c r="G9" s="436">
        <v>1</v>
      </c>
      <c r="H9" s="437">
        <v>0.9</v>
      </c>
      <c r="I9" s="437">
        <v>1.5</v>
      </c>
      <c r="J9" s="437">
        <v>0.9</v>
      </c>
      <c r="K9" s="437">
        <v>1.5</v>
      </c>
      <c r="L9" s="438" t="s">
        <v>3</v>
      </c>
      <c r="M9" s="438">
        <v>1</v>
      </c>
    </row>
    <row r="10" spans="2:13" x14ac:dyDescent="0.25">
      <c r="B10" s="421" t="s">
        <v>253</v>
      </c>
      <c r="C10" s="398"/>
      <c r="D10" s="398"/>
      <c r="E10" s="398"/>
      <c r="F10" s="398"/>
      <c r="G10" s="398"/>
      <c r="H10" s="425"/>
      <c r="I10" s="425"/>
      <c r="J10" s="425"/>
      <c r="K10" s="425"/>
      <c r="L10" s="399"/>
      <c r="M10" s="400"/>
    </row>
    <row r="11" spans="2:13" x14ac:dyDescent="0.25">
      <c r="B11" s="439" t="s">
        <v>549</v>
      </c>
      <c r="C11" s="439">
        <v>0.28999999999999998</v>
      </c>
      <c r="D11" s="439">
        <v>0.28999999999999998</v>
      </c>
      <c r="E11" s="439">
        <v>0.37</v>
      </c>
      <c r="F11" s="439">
        <v>0.39</v>
      </c>
      <c r="G11" s="440">
        <v>0.4</v>
      </c>
      <c r="H11" s="441">
        <v>0.8</v>
      </c>
      <c r="I11" s="441">
        <v>1.2</v>
      </c>
      <c r="J11" s="441">
        <v>0.8</v>
      </c>
      <c r="K11" s="441">
        <v>1.2</v>
      </c>
      <c r="L11" s="442" t="s">
        <v>3</v>
      </c>
      <c r="M11" s="442">
        <v>1</v>
      </c>
    </row>
    <row r="12" spans="2:13" x14ac:dyDescent="0.25">
      <c r="B12" s="443" t="s">
        <v>756</v>
      </c>
      <c r="C12" s="443">
        <v>0.04</v>
      </c>
      <c r="D12" s="443">
        <v>0.04</v>
      </c>
      <c r="E12" s="443">
        <v>0.05</v>
      </c>
      <c r="F12" s="443">
        <v>0.05</v>
      </c>
      <c r="G12" s="443">
        <v>0.06</v>
      </c>
      <c r="H12" s="444">
        <v>0.8</v>
      </c>
      <c r="I12" s="444">
        <v>1.2</v>
      </c>
      <c r="J12" s="444">
        <v>0.8</v>
      </c>
      <c r="K12" s="444">
        <v>1.2</v>
      </c>
      <c r="L12" s="445" t="s">
        <v>3</v>
      </c>
      <c r="M12" s="445">
        <v>1</v>
      </c>
    </row>
    <row r="13" spans="2:13" x14ac:dyDescent="0.25">
      <c r="B13" s="427"/>
      <c r="C13" s="398"/>
      <c r="D13" s="398"/>
      <c r="E13" s="398"/>
      <c r="F13" s="398"/>
      <c r="G13" s="398"/>
      <c r="H13" s="398"/>
      <c r="I13" s="398"/>
      <c r="J13" s="398"/>
      <c r="K13" s="398"/>
      <c r="L13" s="399"/>
      <c r="M13" s="400"/>
    </row>
    <row r="14" spans="2:13" x14ac:dyDescent="0.25">
      <c r="B14" s="402" t="s">
        <v>100</v>
      </c>
      <c r="C14" s="402">
        <v>4</v>
      </c>
      <c r="D14" s="402">
        <v>4</v>
      </c>
      <c r="E14" s="402">
        <v>2</v>
      </c>
      <c r="F14" s="402">
        <v>0</v>
      </c>
      <c r="G14" s="402">
        <v>0</v>
      </c>
      <c r="H14" s="426"/>
      <c r="I14" s="426"/>
      <c r="J14" s="426"/>
      <c r="K14" s="426"/>
      <c r="L14" s="404"/>
      <c r="M14" s="404"/>
    </row>
    <row r="15" spans="2:13" x14ac:dyDescent="0.25">
      <c r="B15" s="406" t="s">
        <v>24</v>
      </c>
      <c r="C15" s="410">
        <v>2</v>
      </c>
      <c r="D15" s="410">
        <v>2</v>
      </c>
      <c r="E15" s="410">
        <v>2</v>
      </c>
      <c r="F15" s="410">
        <v>2</v>
      </c>
      <c r="G15" s="410">
        <v>2</v>
      </c>
      <c r="H15" s="409"/>
      <c r="I15" s="409"/>
      <c r="J15" s="409"/>
      <c r="K15" s="409"/>
      <c r="L15" s="418"/>
      <c r="M15" s="418"/>
    </row>
    <row r="16" spans="2:13" x14ac:dyDescent="0.25">
      <c r="B16" s="406" t="s">
        <v>14</v>
      </c>
      <c r="C16" s="410">
        <v>25</v>
      </c>
      <c r="D16" s="410">
        <v>25</v>
      </c>
      <c r="E16" s="410">
        <v>25</v>
      </c>
      <c r="F16" s="410">
        <v>25</v>
      </c>
      <c r="G16" s="410">
        <v>25</v>
      </c>
      <c r="H16" s="406"/>
      <c r="I16" s="406"/>
      <c r="J16" s="406"/>
      <c r="K16" s="406"/>
      <c r="L16" s="418"/>
      <c r="M16" s="418"/>
    </row>
    <row r="17" spans="2:13" x14ac:dyDescent="0.25">
      <c r="B17" s="419" t="s">
        <v>12</v>
      </c>
      <c r="C17" s="428">
        <v>2</v>
      </c>
      <c r="D17" s="428">
        <v>2</v>
      </c>
      <c r="E17" s="428">
        <v>2</v>
      </c>
      <c r="F17" s="428">
        <v>2</v>
      </c>
      <c r="G17" s="428">
        <v>2</v>
      </c>
      <c r="H17" s="419"/>
      <c r="I17" s="419"/>
      <c r="J17" s="419"/>
      <c r="K17" s="419"/>
      <c r="L17" s="420"/>
      <c r="M17" s="420"/>
    </row>
    <row r="18" spans="2:13" x14ac:dyDescent="0.25">
      <c r="B18" s="421" t="s">
        <v>9</v>
      </c>
      <c r="C18" s="446"/>
      <c r="D18" s="446"/>
      <c r="E18" s="446"/>
      <c r="F18" s="446"/>
      <c r="G18" s="446"/>
      <c r="H18" s="398"/>
      <c r="I18" s="398"/>
      <c r="J18" s="398"/>
      <c r="K18" s="398"/>
      <c r="L18" s="399"/>
      <c r="M18" s="400"/>
    </row>
    <row r="19" spans="2:13" x14ac:dyDescent="0.25">
      <c r="B19" s="402" t="s">
        <v>749</v>
      </c>
      <c r="C19" s="447">
        <v>5.6919219014512894</v>
      </c>
      <c r="D19" s="447">
        <v>5.6919219014512894</v>
      </c>
      <c r="E19" s="447">
        <v>2.561364855653081</v>
      </c>
      <c r="F19" s="447">
        <v>2.2483091510732596</v>
      </c>
      <c r="G19" s="447">
        <v>2.1344707130442337</v>
      </c>
      <c r="H19" s="403">
        <v>0.75</v>
      </c>
      <c r="I19" s="403">
        <v>1.5</v>
      </c>
      <c r="J19" s="403">
        <v>0.75</v>
      </c>
      <c r="K19" s="403">
        <v>1.5</v>
      </c>
      <c r="L19" s="404" t="s">
        <v>520</v>
      </c>
      <c r="M19" s="404" t="s">
        <v>550</v>
      </c>
    </row>
    <row r="20" spans="2:13" x14ac:dyDescent="0.25">
      <c r="B20" s="406" t="s">
        <v>434</v>
      </c>
      <c r="C20" s="448">
        <v>75</v>
      </c>
      <c r="D20" s="448">
        <v>75</v>
      </c>
      <c r="E20" s="448">
        <v>75</v>
      </c>
      <c r="F20" s="448">
        <v>75</v>
      </c>
      <c r="G20" s="448">
        <v>75</v>
      </c>
      <c r="H20" s="406"/>
      <c r="I20" s="406"/>
      <c r="J20" s="406"/>
      <c r="K20" s="406"/>
      <c r="L20" s="418"/>
      <c r="M20" s="418"/>
    </row>
    <row r="21" spans="2:13" x14ac:dyDescent="0.25">
      <c r="B21" s="406" t="s">
        <v>435</v>
      </c>
      <c r="C21" s="449">
        <v>25</v>
      </c>
      <c r="D21" s="449">
        <v>25</v>
      </c>
      <c r="E21" s="449">
        <v>25</v>
      </c>
      <c r="F21" s="449">
        <v>25</v>
      </c>
      <c r="G21" s="449">
        <v>25</v>
      </c>
      <c r="H21" s="406"/>
      <c r="I21" s="406"/>
      <c r="J21" s="406"/>
      <c r="K21" s="406"/>
      <c r="L21" s="418"/>
      <c r="M21" s="418"/>
    </row>
    <row r="22" spans="2:13" x14ac:dyDescent="0.25">
      <c r="B22" s="406" t="s">
        <v>757</v>
      </c>
      <c r="C22" s="414">
        <v>0.1138384380290258</v>
      </c>
      <c r="D22" s="414">
        <v>0.1138384380290258</v>
      </c>
      <c r="E22" s="414">
        <v>5.6919219014512905E-2</v>
      </c>
      <c r="F22" s="414">
        <v>5.7331883352368107E-2</v>
      </c>
      <c r="G22" s="414">
        <v>5.6919219014512905E-2</v>
      </c>
      <c r="H22" s="407">
        <v>0.95</v>
      </c>
      <c r="I22" s="407">
        <v>2</v>
      </c>
      <c r="J22" s="407">
        <v>0.95</v>
      </c>
      <c r="K22" s="407">
        <v>2</v>
      </c>
      <c r="L22" s="418" t="s">
        <v>523</v>
      </c>
      <c r="M22" s="418">
        <v>1</v>
      </c>
    </row>
    <row r="23" spans="2:13" x14ac:dyDescent="0.25">
      <c r="B23" s="406" t="s">
        <v>758</v>
      </c>
      <c r="C23" s="450">
        <v>27.104390006910904</v>
      </c>
      <c r="D23" s="450">
        <v>27.104390006910904</v>
      </c>
      <c r="E23" s="450">
        <v>13.552195003455452</v>
      </c>
      <c r="F23" s="450">
        <v>13.38279256591226</v>
      </c>
      <c r="G23" s="450">
        <v>13.552195003455454</v>
      </c>
      <c r="H23" s="407">
        <v>0.95</v>
      </c>
      <c r="I23" s="407">
        <v>2</v>
      </c>
      <c r="J23" s="407">
        <v>0.95</v>
      </c>
      <c r="K23" s="407">
        <v>2</v>
      </c>
      <c r="L23" s="418" t="s">
        <v>523</v>
      </c>
      <c r="M23" s="418">
        <v>1</v>
      </c>
    </row>
    <row r="24" spans="2:13" x14ac:dyDescent="0.25">
      <c r="B24" s="419" t="s">
        <v>493</v>
      </c>
      <c r="C24" s="451">
        <v>0</v>
      </c>
      <c r="D24" s="419">
        <v>0</v>
      </c>
      <c r="E24" s="419">
        <v>0</v>
      </c>
      <c r="F24" s="419"/>
      <c r="G24" s="419">
        <v>0</v>
      </c>
      <c r="H24" s="419"/>
      <c r="I24" s="419"/>
      <c r="J24" s="419"/>
      <c r="K24" s="419"/>
      <c r="L24" s="420" t="s">
        <v>1</v>
      </c>
      <c r="M24" s="420"/>
    </row>
    <row r="25" spans="2:13" x14ac:dyDescent="0.25">
      <c r="B25" s="421" t="s">
        <v>268</v>
      </c>
      <c r="C25" s="398"/>
      <c r="D25" s="398"/>
      <c r="E25" s="398"/>
      <c r="F25" s="398"/>
      <c r="G25" s="398"/>
      <c r="H25" s="425"/>
      <c r="I25" s="425"/>
      <c r="J25" s="425"/>
      <c r="K25" s="425"/>
      <c r="L25" s="399"/>
      <c r="M25" s="400"/>
    </row>
    <row r="26" spans="2:13" x14ac:dyDescent="0.25">
      <c r="B26" s="402" t="s">
        <v>439</v>
      </c>
      <c r="C26" s="452">
        <v>26.9</v>
      </c>
      <c r="D26" s="452">
        <v>26.9</v>
      </c>
      <c r="E26" s="452">
        <v>26.9</v>
      </c>
      <c r="F26" s="452">
        <v>26.9</v>
      </c>
      <c r="G26" s="452">
        <v>26.9</v>
      </c>
      <c r="H26" s="402"/>
      <c r="I26" s="402"/>
      <c r="J26" s="402"/>
      <c r="K26" s="402"/>
      <c r="L26" s="402"/>
      <c r="M26" s="402"/>
    </row>
    <row r="27" spans="2:13" x14ac:dyDescent="0.25">
      <c r="B27" s="406" t="s">
        <v>733</v>
      </c>
      <c r="C27" s="410">
        <v>0.79</v>
      </c>
      <c r="D27" s="410">
        <v>0.79</v>
      </c>
      <c r="E27" s="410">
        <v>0.79</v>
      </c>
      <c r="F27" s="410">
        <v>0.79</v>
      </c>
      <c r="G27" s="410">
        <v>0.79</v>
      </c>
      <c r="H27" s="406"/>
      <c r="I27" s="406"/>
      <c r="J27" s="406"/>
      <c r="K27" s="406"/>
      <c r="L27" s="406"/>
      <c r="M27" s="406"/>
    </row>
    <row r="28" spans="2:13" x14ac:dyDescent="0.25">
      <c r="B28" s="406" t="s">
        <v>488</v>
      </c>
      <c r="C28" s="412">
        <v>5.0632911392405058</v>
      </c>
      <c r="D28" s="412">
        <v>5.0632911392405058</v>
      </c>
      <c r="E28" s="412">
        <v>2.278481012658228</v>
      </c>
      <c r="F28" s="412">
        <v>2</v>
      </c>
      <c r="G28" s="412">
        <v>1.8987341772151898</v>
      </c>
      <c r="H28" s="407">
        <v>0.75</v>
      </c>
      <c r="I28" s="407">
        <v>1.5</v>
      </c>
      <c r="J28" s="407">
        <v>0.75</v>
      </c>
      <c r="K28" s="407">
        <v>1.5</v>
      </c>
      <c r="L28" s="418" t="s">
        <v>520</v>
      </c>
      <c r="M28" s="418" t="s">
        <v>550</v>
      </c>
    </row>
    <row r="29" spans="2:13" x14ac:dyDescent="0.25">
      <c r="B29" s="406" t="s">
        <v>434</v>
      </c>
      <c r="C29" s="448">
        <v>75</v>
      </c>
      <c r="D29" s="448">
        <v>75</v>
      </c>
      <c r="E29" s="448">
        <v>75</v>
      </c>
      <c r="F29" s="448">
        <v>75</v>
      </c>
      <c r="G29" s="448">
        <v>75</v>
      </c>
      <c r="H29" s="406"/>
      <c r="I29" s="406"/>
      <c r="J29" s="406"/>
      <c r="K29" s="406"/>
      <c r="L29" s="418"/>
      <c r="M29" s="418"/>
    </row>
    <row r="30" spans="2:13" x14ac:dyDescent="0.25">
      <c r="B30" s="406" t="s">
        <v>435</v>
      </c>
      <c r="C30" s="449">
        <v>25</v>
      </c>
      <c r="D30" s="449">
        <v>25</v>
      </c>
      <c r="E30" s="449">
        <v>25</v>
      </c>
      <c r="F30" s="449">
        <v>25</v>
      </c>
      <c r="G30" s="449">
        <v>25</v>
      </c>
      <c r="H30" s="406"/>
      <c r="I30" s="406"/>
      <c r="J30" s="406"/>
      <c r="K30" s="406"/>
      <c r="L30" s="418"/>
      <c r="M30" s="418"/>
    </row>
    <row r="31" spans="2:13" x14ac:dyDescent="0.25">
      <c r="B31" s="406" t="s">
        <v>490</v>
      </c>
      <c r="C31" s="414">
        <v>0.10126582278481013</v>
      </c>
      <c r="D31" s="414">
        <v>0.10126582278481013</v>
      </c>
      <c r="E31" s="414">
        <v>5.0632911392405063E-2</v>
      </c>
      <c r="F31" s="414">
        <v>5.0999999999999997E-2</v>
      </c>
      <c r="G31" s="414">
        <v>5.0632911392405063E-2</v>
      </c>
      <c r="H31" s="407">
        <v>0.95</v>
      </c>
      <c r="I31" s="407">
        <v>2</v>
      </c>
      <c r="J31" s="407">
        <v>0.95</v>
      </c>
      <c r="K31" s="407">
        <v>2</v>
      </c>
      <c r="L31" s="418" t="s">
        <v>523</v>
      </c>
      <c r="M31" s="418">
        <v>1</v>
      </c>
    </row>
    <row r="32" spans="2:13" x14ac:dyDescent="0.25">
      <c r="B32" s="406" t="s">
        <v>491</v>
      </c>
      <c r="C32" s="414">
        <v>0.20253164556962025</v>
      </c>
      <c r="D32" s="414">
        <v>0.20253164556962025</v>
      </c>
      <c r="E32" s="414">
        <v>0.10126582278481013</v>
      </c>
      <c r="F32" s="414">
        <v>0.1</v>
      </c>
      <c r="G32" s="414">
        <v>0.10126582278481013</v>
      </c>
      <c r="H32" s="407">
        <v>0.95</v>
      </c>
      <c r="I32" s="407">
        <v>2</v>
      </c>
      <c r="J32" s="407">
        <v>0.95</v>
      </c>
      <c r="K32" s="407">
        <v>2</v>
      </c>
      <c r="L32" s="418" t="s">
        <v>523</v>
      </c>
      <c r="M32" s="418">
        <v>1</v>
      </c>
    </row>
    <row r="33" spans="2:13" x14ac:dyDescent="0.25">
      <c r="B33" s="406" t="s">
        <v>493</v>
      </c>
      <c r="C33" s="413">
        <v>0</v>
      </c>
      <c r="D33" s="406">
        <v>0</v>
      </c>
      <c r="E33" s="406">
        <v>0</v>
      </c>
      <c r="F33" s="406">
        <v>0</v>
      </c>
      <c r="G33" s="406">
        <v>0</v>
      </c>
      <c r="H33" s="406"/>
      <c r="I33" s="406"/>
      <c r="J33" s="406"/>
      <c r="K33" s="406"/>
      <c r="L33" s="418" t="s">
        <v>1</v>
      </c>
      <c r="M33" s="418"/>
    </row>
    <row r="35" spans="2:13" x14ac:dyDescent="0.25">
      <c r="B35" s="350" t="s">
        <v>6</v>
      </c>
    </row>
    <row r="36" spans="2:13" x14ac:dyDescent="0.25">
      <c r="B36" s="349" t="s">
        <v>551</v>
      </c>
    </row>
    <row r="37" spans="2:13" x14ac:dyDescent="0.25">
      <c r="B37" s="349" t="s">
        <v>441</v>
      </c>
    </row>
    <row r="38" spans="2:13" x14ac:dyDescent="0.25">
      <c r="B38" s="349" t="s">
        <v>442</v>
      </c>
    </row>
    <row r="39" spans="2:13" x14ac:dyDescent="0.25">
      <c r="B39" s="349" t="s">
        <v>552</v>
      </c>
    </row>
    <row r="40" spans="2:13" x14ac:dyDescent="0.25">
      <c r="B40" s="349" t="s">
        <v>553</v>
      </c>
    </row>
    <row r="41" spans="2:13" x14ac:dyDescent="0.25">
      <c r="B41" s="349" t="s">
        <v>554</v>
      </c>
    </row>
    <row r="42" spans="2:13" x14ac:dyDescent="0.25">
      <c r="B42" s="349" t="s">
        <v>555</v>
      </c>
    </row>
    <row r="43" spans="2:13" x14ac:dyDescent="0.25">
      <c r="B43" s="349" t="s">
        <v>533</v>
      </c>
    </row>
    <row r="45" spans="2:13" x14ac:dyDescent="0.25">
      <c r="B45" s="350" t="s">
        <v>408</v>
      </c>
    </row>
    <row r="46" spans="2:13" x14ac:dyDescent="0.25">
      <c r="B46" s="349" t="s">
        <v>556</v>
      </c>
    </row>
    <row r="47" spans="2:13" x14ac:dyDescent="0.25">
      <c r="B47" s="349" t="s">
        <v>557</v>
      </c>
    </row>
    <row r="48" spans="2:13" x14ac:dyDescent="0.25">
      <c r="B48" s="349" t="s">
        <v>558</v>
      </c>
    </row>
    <row r="49" spans="2:2" x14ac:dyDescent="0.25">
      <c r="B49" s="349" t="s">
        <v>559</v>
      </c>
    </row>
    <row r="50" spans="2:2" x14ac:dyDescent="0.25">
      <c r="B50" s="349" t="s">
        <v>560</v>
      </c>
    </row>
    <row r="51" spans="2:2" x14ac:dyDescent="0.25">
      <c r="B51" s="349" t="s">
        <v>561</v>
      </c>
    </row>
    <row r="52" spans="2:2" x14ac:dyDescent="0.25">
      <c r="B52" s="349" t="s">
        <v>562</v>
      </c>
    </row>
    <row r="53" spans="2:2" x14ac:dyDescent="0.25">
      <c r="B53" s="349" t="s">
        <v>563</v>
      </c>
    </row>
    <row r="54" spans="2:2" x14ac:dyDescent="0.25">
      <c r="B54" s="349" t="s">
        <v>564</v>
      </c>
    </row>
    <row r="55" spans="2:2" x14ac:dyDescent="0.25">
      <c r="B55" s="349" t="s">
        <v>565</v>
      </c>
    </row>
    <row r="56" spans="2:2" x14ac:dyDescent="0.25">
      <c r="B56" s="349" t="s">
        <v>566</v>
      </c>
    </row>
    <row r="57" spans="2:2" x14ac:dyDescent="0.25">
      <c r="B57" s="349" t="s">
        <v>571</v>
      </c>
    </row>
    <row r="58" spans="2:2" x14ac:dyDescent="0.25">
      <c r="B58" s="349" t="s">
        <v>567</v>
      </c>
    </row>
    <row r="59" spans="2:2" x14ac:dyDescent="0.25">
      <c r="B59" s="349" t="s">
        <v>568</v>
      </c>
    </row>
    <row r="60" spans="2:2" x14ac:dyDescent="0.25">
      <c r="B60" s="349" t="s">
        <v>569</v>
      </c>
    </row>
    <row r="61" spans="2:2" x14ac:dyDescent="0.25">
      <c r="B61" s="349" t="s">
        <v>570</v>
      </c>
    </row>
  </sheetData>
  <mergeCells count="3">
    <mergeCell ref="C2:M2"/>
    <mergeCell ref="H3:I3"/>
    <mergeCell ref="J3:K3"/>
  </mergeCells>
  <hyperlinks>
    <hyperlink ref="H1" location="Index" display="Back to Index"/>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M51"/>
  <sheetViews>
    <sheetView workbookViewId="0">
      <selection activeCell="N38" sqref="N38"/>
    </sheetView>
  </sheetViews>
  <sheetFormatPr defaultRowHeight="15" x14ac:dyDescent="0.25"/>
  <cols>
    <col min="1" max="1" width="2.42578125" customWidth="1"/>
    <col min="2" max="2" width="26.7109375" customWidth="1"/>
    <col min="3" max="12" width="6.85546875" customWidth="1"/>
  </cols>
  <sheetData>
    <row r="1" spans="2:13" x14ac:dyDescent="0.25">
      <c r="H1" s="355" t="s">
        <v>709</v>
      </c>
    </row>
    <row r="2" spans="2:13" ht="15" customHeight="1" x14ac:dyDescent="0.25">
      <c r="B2" s="393" t="s">
        <v>20</v>
      </c>
      <c r="C2" s="658" t="s">
        <v>603</v>
      </c>
      <c r="D2" s="658"/>
      <c r="E2" s="658"/>
      <c r="F2" s="658"/>
      <c r="G2" s="658"/>
      <c r="H2" s="658"/>
      <c r="I2" s="658"/>
      <c r="J2" s="658"/>
      <c r="K2" s="658"/>
      <c r="L2" s="658"/>
      <c r="M2" s="658"/>
    </row>
    <row r="3" spans="2:13" ht="15" customHeight="1" x14ac:dyDescent="0.25">
      <c r="B3" s="419"/>
      <c r="C3" s="413">
        <v>2015</v>
      </c>
      <c r="D3" s="413">
        <v>2020</v>
      </c>
      <c r="E3" s="413">
        <v>2030</v>
      </c>
      <c r="F3" s="413">
        <v>2040</v>
      </c>
      <c r="G3" s="413">
        <v>2050</v>
      </c>
      <c r="H3" s="663" t="s">
        <v>26</v>
      </c>
      <c r="I3" s="663"/>
      <c r="J3" s="663" t="s">
        <v>25</v>
      </c>
      <c r="K3" s="663"/>
      <c r="L3" s="418" t="s">
        <v>19</v>
      </c>
      <c r="M3" s="418" t="s">
        <v>18</v>
      </c>
    </row>
    <row r="4" spans="2:13" x14ac:dyDescent="0.25">
      <c r="B4" s="406"/>
      <c r="C4" s="454"/>
      <c r="D4" s="451"/>
      <c r="E4" s="451"/>
      <c r="F4" s="451"/>
      <c r="G4" s="451"/>
      <c r="H4" s="451" t="s">
        <v>17</v>
      </c>
      <c r="I4" s="451" t="s">
        <v>16</v>
      </c>
      <c r="J4" s="451" t="s">
        <v>17</v>
      </c>
      <c r="K4" s="451" t="s">
        <v>16</v>
      </c>
      <c r="L4" s="420"/>
      <c r="M4" s="420"/>
    </row>
    <row r="5" spans="2:13" x14ac:dyDescent="0.25">
      <c r="B5" s="421" t="s">
        <v>15</v>
      </c>
      <c r="C5" s="429"/>
      <c r="D5" s="429"/>
      <c r="E5" s="429"/>
      <c r="F5" s="429"/>
      <c r="G5" s="429"/>
      <c r="H5" s="429"/>
      <c r="I5" s="429"/>
      <c r="J5" s="429"/>
      <c r="K5" s="429"/>
      <c r="L5" s="399"/>
      <c r="M5" s="400"/>
    </row>
    <row r="6" spans="2:13" x14ac:dyDescent="0.25">
      <c r="B6" s="402" t="s">
        <v>604</v>
      </c>
      <c r="C6" s="455">
        <v>100</v>
      </c>
      <c r="D6" s="455">
        <v>100</v>
      </c>
      <c r="E6" s="455">
        <v>200</v>
      </c>
      <c r="F6" s="455">
        <v>250</v>
      </c>
      <c r="G6" s="455">
        <v>300</v>
      </c>
      <c r="H6" s="456">
        <v>0.5</v>
      </c>
      <c r="I6" s="456">
        <v>2</v>
      </c>
      <c r="J6" s="456">
        <v>0.5</v>
      </c>
      <c r="K6" s="456">
        <v>1.25</v>
      </c>
      <c r="L6" s="404" t="s">
        <v>420</v>
      </c>
      <c r="M6" s="404" t="s">
        <v>605</v>
      </c>
    </row>
    <row r="7" spans="2:13" x14ac:dyDescent="0.25">
      <c r="B7" s="419" t="s">
        <v>548</v>
      </c>
      <c r="C7" s="451">
        <v>65</v>
      </c>
      <c r="D7" s="451">
        <v>65</v>
      </c>
      <c r="E7" s="451">
        <v>130</v>
      </c>
      <c r="F7" s="451">
        <v>165</v>
      </c>
      <c r="G7" s="451">
        <v>195</v>
      </c>
      <c r="H7" s="457">
        <v>0.5</v>
      </c>
      <c r="I7" s="457">
        <v>2</v>
      </c>
      <c r="J7" s="457">
        <v>0.5</v>
      </c>
      <c r="K7" s="457">
        <v>1.25</v>
      </c>
      <c r="L7" s="420" t="s">
        <v>422</v>
      </c>
      <c r="M7" s="420" t="s">
        <v>605</v>
      </c>
    </row>
    <row r="8" spans="2:13" x14ac:dyDescent="0.25">
      <c r="B8" s="421" t="s">
        <v>376</v>
      </c>
      <c r="C8" s="429"/>
      <c r="D8" s="429"/>
      <c r="E8" s="429"/>
      <c r="F8" s="429"/>
      <c r="G8" s="429"/>
      <c r="H8" s="429"/>
      <c r="I8" s="429"/>
      <c r="J8" s="429"/>
      <c r="K8" s="429"/>
      <c r="L8" s="399"/>
      <c r="M8" s="400"/>
    </row>
    <row r="9" spans="2:13" x14ac:dyDescent="0.25">
      <c r="B9" s="435" t="s">
        <v>485</v>
      </c>
      <c r="C9" s="458">
        <v>1</v>
      </c>
      <c r="D9" s="458">
        <v>1</v>
      </c>
      <c r="E9" s="458">
        <v>1</v>
      </c>
      <c r="F9" s="458">
        <v>1</v>
      </c>
      <c r="G9" s="458">
        <v>1</v>
      </c>
      <c r="H9" s="459">
        <v>0.9</v>
      </c>
      <c r="I9" s="459">
        <v>1.5</v>
      </c>
      <c r="J9" s="459">
        <v>0.9</v>
      </c>
      <c r="K9" s="459">
        <v>1.2</v>
      </c>
      <c r="L9" s="438"/>
      <c r="M9" s="438">
        <v>1</v>
      </c>
    </row>
    <row r="10" spans="2:13" x14ac:dyDescent="0.25">
      <c r="B10" s="421" t="s">
        <v>253</v>
      </c>
      <c r="C10" s="429"/>
      <c r="D10" s="429"/>
      <c r="E10" s="429"/>
      <c r="F10" s="429"/>
      <c r="G10" s="429"/>
      <c r="H10" s="460"/>
      <c r="I10" s="460"/>
      <c r="J10" s="460"/>
      <c r="K10" s="460"/>
      <c r="L10" s="399"/>
      <c r="M10" s="400"/>
    </row>
    <row r="11" spans="2:13" x14ac:dyDescent="0.25">
      <c r="B11" s="402" t="s">
        <v>631</v>
      </c>
      <c r="C11" s="455">
        <v>0.57999999999999996</v>
      </c>
      <c r="D11" s="455">
        <v>0.57999999999999996</v>
      </c>
      <c r="E11" s="455">
        <v>0.61</v>
      </c>
      <c r="F11" s="455">
        <v>0.63</v>
      </c>
      <c r="G11" s="455">
        <v>0.65</v>
      </c>
      <c r="H11" s="461">
        <v>1</v>
      </c>
      <c r="I11" s="461">
        <v>1.33</v>
      </c>
      <c r="J11" s="461">
        <v>1</v>
      </c>
      <c r="K11" s="461">
        <v>1.33</v>
      </c>
      <c r="L11" s="452" t="s">
        <v>2</v>
      </c>
      <c r="M11" s="404">
        <v>1</v>
      </c>
    </row>
    <row r="12" spans="2:13" x14ac:dyDescent="0.25">
      <c r="B12" s="422" t="s">
        <v>765</v>
      </c>
      <c r="C12" s="462">
        <v>0.22</v>
      </c>
      <c r="D12" s="462">
        <v>0.22</v>
      </c>
      <c r="E12" s="462">
        <v>0.22</v>
      </c>
      <c r="F12" s="462">
        <v>0.22</v>
      </c>
      <c r="G12" s="462">
        <v>0.22</v>
      </c>
      <c r="H12" s="463">
        <v>0.8</v>
      </c>
      <c r="I12" s="463">
        <v>1.25</v>
      </c>
      <c r="J12" s="463">
        <v>0.8</v>
      </c>
      <c r="K12" s="463">
        <v>1.25</v>
      </c>
      <c r="L12" s="464" t="s">
        <v>2</v>
      </c>
      <c r="M12" s="465">
        <v>1</v>
      </c>
    </row>
    <row r="13" spans="2:13" x14ac:dyDescent="0.25">
      <c r="B13" s="443" t="s">
        <v>761</v>
      </c>
      <c r="C13" s="466">
        <v>0.02</v>
      </c>
      <c r="D13" s="466">
        <v>0.02</v>
      </c>
      <c r="E13" s="466">
        <v>0.02</v>
      </c>
      <c r="F13" s="466">
        <v>0.02</v>
      </c>
      <c r="G13" s="466">
        <v>0.02</v>
      </c>
      <c r="H13" s="467">
        <v>0.8</v>
      </c>
      <c r="I13" s="467">
        <v>1.25</v>
      </c>
      <c r="J13" s="467">
        <v>0.8</v>
      </c>
      <c r="K13" s="467">
        <v>1.25</v>
      </c>
      <c r="L13" s="468" t="s">
        <v>2</v>
      </c>
      <c r="M13" s="445">
        <v>1</v>
      </c>
    </row>
    <row r="14" spans="2:13" x14ac:dyDescent="0.25">
      <c r="B14" s="469"/>
      <c r="C14" s="470"/>
      <c r="D14" s="470"/>
      <c r="E14" s="470"/>
      <c r="F14" s="470"/>
      <c r="G14" s="470"/>
      <c r="H14" s="471"/>
      <c r="I14" s="471"/>
      <c r="J14" s="471"/>
      <c r="K14" s="471"/>
      <c r="L14" s="470"/>
      <c r="M14" s="472"/>
    </row>
    <row r="15" spans="2:13" x14ac:dyDescent="0.25">
      <c r="B15" s="402" t="s">
        <v>100</v>
      </c>
      <c r="C15" s="455">
        <v>4</v>
      </c>
      <c r="D15" s="455">
        <v>4</v>
      </c>
      <c r="E15" s="455">
        <v>0</v>
      </c>
      <c r="F15" s="455">
        <v>0</v>
      </c>
      <c r="G15" s="455">
        <v>0</v>
      </c>
      <c r="H15" s="455"/>
      <c r="I15" s="461"/>
      <c r="J15" s="461"/>
      <c r="K15" s="461"/>
      <c r="L15" s="404"/>
      <c r="M15" s="404"/>
    </row>
    <row r="16" spans="2:13" x14ac:dyDescent="0.25">
      <c r="B16" s="406" t="s">
        <v>24</v>
      </c>
      <c r="C16" s="413">
        <v>2</v>
      </c>
      <c r="D16" s="413">
        <v>2</v>
      </c>
      <c r="E16" s="413">
        <v>2</v>
      </c>
      <c r="F16" s="413">
        <v>2</v>
      </c>
      <c r="G16" s="413">
        <v>2</v>
      </c>
      <c r="H16" s="473"/>
      <c r="I16" s="473"/>
      <c r="J16" s="473"/>
      <c r="K16" s="473"/>
      <c r="L16" s="418"/>
      <c r="M16" s="418"/>
    </row>
    <row r="17" spans="2:13" x14ac:dyDescent="0.25">
      <c r="B17" s="406" t="s">
        <v>14</v>
      </c>
      <c r="C17" s="413">
        <v>25</v>
      </c>
      <c r="D17" s="413">
        <v>20</v>
      </c>
      <c r="E17" s="413">
        <v>20</v>
      </c>
      <c r="F17" s="413">
        <v>20</v>
      </c>
      <c r="G17" s="413">
        <v>20</v>
      </c>
      <c r="H17" s="413"/>
      <c r="I17" s="413"/>
      <c r="J17" s="413"/>
      <c r="K17" s="413"/>
      <c r="L17" s="418"/>
      <c r="M17" s="418"/>
    </row>
    <row r="18" spans="2:13" x14ac:dyDescent="0.25">
      <c r="B18" s="419" t="s">
        <v>12</v>
      </c>
      <c r="C18" s="474" t="s">
        <v>766</v>
      </c>
      <c r="D18" s="474" t="s">
        <v>766</v>
      </c>
      <c r="E18" s="474" t="s">
        <v>766</v>
      </c>
      <c r="F18" s="474" t="s">
        <v>766</v>
      </c>
      <c r="G18" s="474" t="s">
        <v>766</v>
      </c>
      <c r="H18" s="451"/>
      <c r="I18" s="451"/>
      <c r="J18" s="451"/>
      <c r="K18" s="451"/>
      <c r="L18" s="420"/>
      <c r="M18" s="420"/>
    </row>
    <row r="19" spans="2:13" x14ac:dyDescent="0.25">
      <c r="B19" s="421" t="s">
        <v>9</v>
      </c>
      <c r="C19" s="429"/>
      <c r="D19" s="429"/>
      <c r="E19" s="429"/>
      <c r="F19" s="429"/>
      <c r="G19" s="429"/>
      <c r="H19" s="429"/>
      <c r="I19" s="429"/>
      <c r="J19" s="429"/>
      <c r="K19" s="429"/>
      <c r="L19" s="399"/>
      <c r="M19" s="400"/>
    </row>
    <row r="20" spans="2:13" x14ac:dyDescent="0.25">
      <c r="B20" s="402" t="s">
        <v>767</v>
      </c>
      <c r="C20" s="475">
        <v>5.2580331061343726</v>
      </c>
      <c r="D20" s="475">
        <v>5.2580331061343726</v>
      </c>
      <c r="E20" s="475">
        <v>2.9211295034079843</v>
      </c>
      <c r="F20" s="475">
        <v>2.1212121212121211</v>
      </c>
      <c r="G20" s="475">
        <v>1.4605647517039921</v>
      </c>
      <c r="H20" s="456">
        <v>0.5</v>
      </c>
      <c r="I20" s="456">
        <v>1</v>
      </c>
      <c r="J20" s="456">
        <v>0.8</v>
      </c>
      <c r="K20" s="456">
        <v>1.2</v>
      </c>
      <c r="L20" s="404" t="s">
        <v>0</v>
      </c>
      <c r="M20" s="404" t="s">
        <v>608</v>
      </c>
    </row>
    <row r="21" spans="2:13" x14ac:dyDescent="0.25">
      <c r="B21" s="406" t="s">
        <v>387</v>
      </c>
      <c r="C21" s="413" t="s">
        <v>388</v>
      </c>
      <c r="D21" s="413">
        <v>75</v>
      </c>
      <c r="E21" s="413">
        <v>75</v>
      </c>
      <c r="F21" s="413">
        <v>75</v>
      </c>
      <c r="G21" s="413">
        <v>75</v>
      </c>
      <c r="H21" s="476"/>
      <c r="I21" s="476"/>
      <c r="J21" s="476"/>
      <c r="K21" s="476"/>
      <c r="L21" s="418"/>
      <c r="M21" s="418"/>
    </row>
    <row r="22" spans="2:13" x14ac:dyDescent="0.25">
      <c r="B22" s="406" t="s">
        <v>435</v>
      </c>
      <c r="C22" s="413">
        <v>25</v>
      </c>
      <c r="D22" s="413">
        <v>25</v>
      </c>
      <c r="E22" s="413">
        <v>25</v>
      </c>
      <c r="F22" s="413">
        <v>25</v>
      </c>
      <c r="G22" s="413">
        <v>25</v>
      </c>
      <c r="H22" s="476"/>
      <c r="I22" s="476"/>
      <c r="J22" s="476"/>
      <c r="K22" s="476"/>
      <c r="L22" s="418"/>
      <c r="M22" s="418"/>
    </row>
    <row r="23" spans="2:13" x14ac:dyDescent="0.25">
      <c r="B23" s="406" t="s">
        <v>768</v>
      </c>
      <c r="C23" s="477">
        <v>5.8422590068159676E-2</v>
      </c>
      <c r="D23" s="477">
        <v>5.8422590068159676E-2</v>
      </c>
      <c r="E23" s="477">
        <v>3.8948393378773129E-2</v>
      </c>
      <c r="F23" s="477">
        <v>3.8358266206367474E-2</v>
      </c>
      <c r="G23" s="477">
        <v>3.8948393378773122E-2</v>
      </c>
      <c r="H23" s="476">
        <v>0.9</v>
      </c>
      <c r="I23" s="476">
        <v>1.1000000000000001</v>
      </c>
      <c r="J23" s="476">
        <v>0.9</v>
      </c>
      <c r="K23" s="476">
        <v>1.1000000000000001</v>
      </c>
      <c r="L23" s="418" t="s">
        <v>322</v>
      </c>
      <c r="M23" s="418">
        <v>1</v>
      </c>
    </row>
    <row r="24" spans="2:13" x14ac:dyDescent="0.25">
      <c r="B24" s="406" t="s">
        <v>769</v>
      </c>
      <c r="C24" s="478">
        <v>20.404307576043831</v>
      </c>
      <c r="D24" s="478">
        <v>20.404307576043831</v>
      </c>
      <c r="E24" s="478">
        <v>13.60287171736255</v>
      </c>
      <c r="F24" s="478">
        <v>13.602871717362556</v>
      </c>
      <c r="G24" s="478">
        <v>13.602871717362554</v>
      </c>
      <c r="H24" s="476">
        <v>0.9</v>
      </c>
      <c r="I24" s="476">
        <v>1.1000000000000001</v>
      </c>
      <c r="J24" s="476">
        <v>0.9</v>
      </c>
      <c r="K24" s="476">
        <v>1.1000000000000001</v>
      </c>
      <c r="L24" s="418" t="s">
        <v>611</v>
      </c>
      <c r="M24" s="418">
        <v>1</v>
      </c>
    </row>
    <row r="25" spans="2:13" x14ac:dyDescent="0.25">
      <c r="B25" s="419" t="s">
        <v>612</v>
      </c>
      <c r="C25" s="451">
        <v>0</v>
      </c>
      <c r="D25" s="451">
        <v>0</v>
      </c>
      <c r="E25" s="451">
        <v>0</v>
      </c>
      <c r="F25" s="451"/>
      <c r="G25" s="451">
        <v>0</v>
      </c>
      <c r="H25" s="457"/>
      <c r="I25" s="457"/>
      <c r="J25" s="457"/>
      <c r="K25" s="457"/>
      <c r="L25" s="420"/>
      <c r="M25" s="420"/>
    </row>
    <row r="26" spans="2:13" x14ac:dyDescent="0.25">
      <c r="B26" s="421" t="s">
        <v>268</v>
      </c>
      <c r="C26" s="429"/>
      <c r="D26" s="429"/>
      <c r="E26" s="429"/>
      <c r="F26" s="429"/>
      <c r="G26" s="429"/>
      <c r="H26" s="479"/>
      <c r="I26" s="479"/>
      <c r="J26" s="479"/>
      <c r="K26" s="479"/>
      <c r="L26" s="399"/>
      <c r="M26" s="400"/>
    </row>
    <row r="27" spans="2:13" x14ac:dyDescent="0.25">
      <c r="B27" s="402" t="s">
        <v>613</v>
      </c>
      <c r="C27" s="455">
        <v>20.100000000000001</v>
      </c>
      <c r="D27" s="455">
        <v>20.100000000000001</v>
      </c>
      <c r="E27" s="455">
        <v>20.100000000000001</v>
      </c>
      <c r="F27" s="455">
        <v>20.100000000000001</v>
      </c>
      <c r="G27" s="455">
        <v>20.100000000000001</v>
      </c>
      <c r="H27" s="456"/>
      <c r="I27" s="456"/>
      <c r="J27" s="456"/>
      <c r="K27" s="456"/>
      <c r="L27" s="404"/>
      <c r="M27" s="404"/>
    </row>
    <row r="28" spans="2:13" x14ac:dyDescent="0.25">
      <c r="B28" s="406" t="s">
        <v>733</v>
      </c>
      <c r="C28" s="413">
        <v>0.79</v>
      </c>
      <c r="D28" s="413">
        <v>0.79</v>
      </c>
      <c r="E28" s="413">
        <v>0.79</v>
      </c>
      <c r="F28" s="413">
        <v>0.79</v>
      </c>
      <c r="G28" s="413">
        <v>0.79</v>
      </c>
      <c r="H28" s="476"/>
      <c r="I28" s="476"/>
      <c r="J28" s="476"/>
      <c r="K28" s="476"/>
      <c r="L28" s="418"/>
      <c r="M28" s="418"/>
    </row>
    <row r="29" spans="2:13" x14ac:dyDescent="0.25">
      <c r="B29" s="406" t="s">
        <v>607</v>
      </c>
      <c r="C29" s="411">
        <v>3.4177215189873418</v>
      </c>
      <c r="D29" s="411">
        <v>3.4177215189873418</v>
      </c>
      <c r="E29" s="411">
        <v>1.8987341772151898</v>
      </c>
      <c r="F29" s="411">
        <v>1.4</v>
      </c>
      <c r="G29" s="411">
        <v>0.94936708860759489</v>
      </c>
      <c r="H29" s="476">
        <v>0.5</v>
      </c>
      <c r="I29" s="476">
        <v>1</v>
      </c>
      <c r="J29" s="476">
        <v>0.8</v>
      </c>
      <c r="K29" s="476">
        <v>1.2</v>
      </c>
      <c r="L29" s="418" t="s">
        <v>0</v>
      </c>
      <c r="M29" s="418" t="s">
        <v>608</v>
      </c>
    </row>
    <row r="30" spans="2:13" x14ac:dyDescent="0.25">
      <c r="B30" s="406" t="s">
        <v>609</v>
      </c>
      <c r="C30" s="477">
        <v>3.7974683544303792E-2</v>
      </c>
      <c r="D30" s="477">
        <v>3.7974683544303792E-2</v>
      </c>
      <c r="E30" s="477">
        <v>2.5316455696202531E-2</v>
      </c>
      <c r="F30" s="477">
        <v>2.5316455696202531E-2</v>
      </c>
      <c r="G30" s="477">
        <v>2.5316455696202531E-2</v>
      </c>
      <c r="H30" s="476">
        <v>0.9</v>
      </c>
      <c r="I30" s="476">
        <v>1.1000000000000001</v>
      </c>
      <c r="J30" s="476">
        <v>0.9</v>
      </c>
      <c r="K30" s="476">
        <v>1.1000000000000001</v>
      </c>
      <c r="L30" s="418" t="s">
        <v>322</v>
      </c>
      <c r="M30" s="418">
        <v>1</v>
      </c>
    </row>
    <row r="31" spans="2:13" x14ac:dyDescent="0.25">
      <c r="B31" s="406" t="s">
        <v>610</v>
      </c>
      <c r="C31" s="477">
        <v>0.11392405063291139</v>
      </c>
      <c r="D31" s="477">
        <v>0.11392405063291139</v>
      </c>
      <c r="E31" s="477">
        <v>7.5949367088607583E-2</v>
      </c>
      <c r="F31" s="477">
        <v>7.5949367088607583E-2</v>
      </c>
      <c r="G31" s="477">
        <v>7.5949367088607583E-2</v>
      </c>
      <c r="H31" s="476">
        <v>0.9</v>
      </c>
      <c r="I31" s="476">
        <v>1.1000000000000001</v>
      </c>
      <c r="J31" s="476">
        <v>0.9</v>
      </c>
      <c r="K31" s="476">
        <v>1.1000000000000001</v>
      </c>
      <c r="L31" s="418" t="s">
        <v>611</v>
      </c>
      <c r="M31" s="418">
        <v>1</v>
      </c>
    </row>
    <row r="32" spans="2:13" x14ac:dyDescent="0.25">
      <c r="B32" s="406" t="s">
        <v>612</v>
      </c>
      <c r="C32" s="413">
        <v>0</v>
      </c>
      <c r="D32" s="413">
        <v>0</v>
      </c>
      <c r="E32" s="413">
        <v>0</v>
      </c>
      <c r="F32" s="413">
        <v>0</v>
      </c>
      <c r="G32" s="413">
        <v>0</v>
      </c>
      <c r="H32" s="413"/>
      <c r="I32" s="413"/>
      <c r="J32" s="413"/>
      <c r="K32" s="413"/>
      <c r="L32" s="418"/>
      <c r="M32" s="418"/>
    </row>
    <row r="34" spans="2:2" x14ac:dyDescent="0.25">
      <c r="B34" s="350" t="s">
        <v>6</v>
      </c>
    </row>
    <row r="35" spans="2:2" x14ac:dyDescent="0.25">
      <c r="B35" s="349" t="s">
        <v>614</v>
      </c>
    </row>
    <row r="36" spans="2:2" x14ac:dyDescent="0.25">
      <c r="B36" s="349" t="s">
        <v>615</v>
      </c>
    </row>
    <row r="37" spans="2:2" x14ac:dyDescent="0.25">
      <c r="B37" s="349" t="s">
        <v>582</v>
      </c>
    </row>
    <row r="38" spans="2:2" x14ac:dyDescent="0.25">
      <c r="B38" s="349" t="s">
        <v>616</v>
      </c>
    </row>
    <row r="39" spans="2:2" x14ac:dyDescent="0.25">
      <c r="B39" s="349" t="s">
        <v>617</v>
      </c>
    </row>
    <row r="40" spans="2:2" x14ac:dyDescent="0.25">
      <c r="B40" s="349" t="s">
        <v>618</v>
      </c>
    </row>
    <row r="41" spans="2:2" x14ac:dyDescent="0.25">
      <c r="B41" s="349" t="s">
        <v>619</v>
      </c>
    </row>
    <row r="43" spans="2:2" x14ac:dyDescent="0.25">
      <c r="B43" s="350" t="s">
        <v>408</v>
      </c>
    </row>
    <row r="44" spans="2:2" x14ac:dyDescent="0.25">
      <c r="B44" s="349" t="s">
        <v>620</v>
      </c>
    </row>
    <row r="45" spans="2:2" x14ac:dyDescent="0.25">
      <c r="B45" s="349" t="s">
        <v>621</v>
      </c>
    </row>
    <row r="46" spans="2:2" x14ac:dyDescent="0.25">
      <c r="B46" s="349" t="s">
        <v>622</v>
      </c>
    </row>
    <row r="47" spans="2:2" x14ac:dyDescent="0.25">
      <c r="B47" s="349" t="s">
        <v>623</v>
      </c>
    </row>
    <row r="48" spans="2:2" x14ac:dyDescent="0.25">
      <c r="B48" s="349" t="s">
        <v>624</v>
      </c>
    </row>
    <row r="49" spans="2:2" x14ac:dyDescent="0.25">
      <c r="B49" s="349" t="s">
        <v>625</v>
      </c>
    </row>
    <row r="50" spans="2:2" x14ac:dyDescent="0.25">
      <c r="B50" s="349" t="s">
        <v>626</v>
      </c>
    </row>
    <row r="51" spans="2:2" x14ac:dyDescent="0.25">
      <c r="B51" s="349" t="s">
        <v>627</v>
      </c>
    </row>
  </sheetData>
  <mergeCells count="3">
    <mergeCell ref="C2:M2"/>
    <mergeCell ref="H3:I3"/>
    <mergeCell ref="J3:K3"/>
  </mergeCells>
  <hyperlinks>
    <hyperlink ref="B44" r:id="rId1" display="https://doi.org/10.1016/j.biombioe.2014.03.063"/>
    <hyperlink ref="B45" r:id="rId2" display="http://serenergy.com/wp-content/uploads/2015/11/GreenSynFuels_report_final.pdf"/>
    <hyperlink ref="B46" r:id="rId3" display="https://doi.org/10.1016/j.energy.2014.09.042"/>
    <hyperlink ref="B47" r:id="rId4" display="http://task39.sites.olt.ubc.ca/files/2012/01/IEA-Bioenergy-Task-39-Newsletter-Issue-42-April-2016.pdf"/>
    <hyperlink ref="B48" r:id="rId5" display="http://www.varmlandsmetanol.se/Om Projektet.htm"/>
    <hyperlink ref="B49" r:id="rId6" display="http://www.varmlandsmetanol.se/dokument/Folder VM sept 2016.pdf"/>
    <hyperlink ref="B50" r:id="rId7" display="https://www.nrel.gov/docs/fy12osti/52636.pdf"/>
    <hyperlink ref="B51" r:id="rId8" display="http://platformduurzamebiobrandstoffen.nl/wp-content/uploads/2017/07/2017_SGAB_Cost-of-Biofuels.pdf"/>
    <hyperlink ref="H1" location="Index" display="Back to Index"/>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1:M61"/>
  <sheetViews>
    <sheetView topLeftCell="A16" workbookViewId="0">
      <selection activeCell="I39" sqref="I39"/>
    </sheetView>
  </sheetViews>
  <sheetFormatPr defaultRowHeight="15" x14ac:dyDescent="0.25"/>
  <cols>
    <col min="2" max="2" width="27.42578125" customWidth="1"/>
    <col min="3" max="12" width="7" customWidth="1"/>
  </cols>
  <sheetData>
    <row r="1" spans="2:13" x14ac:dyDescent="0.25">
      <c r="H1" s="355" t="s">
        <v>709</v>
      </c>
    </row>
    <row r="2" spans="2:13" ht="15" customHeight="1" x14ac:dyDescent="0.25">
      <c r="B2" s="393" t="s">
        <v>20</v>
      </c>
      <c r="C2" s="658" t="s">
        <v>770</v>
      </c>
      <c r="D2" s="658"/>
      <c r="E2" s="658"/>
      <c r="F2" s="658"/>
      <c r="G2" s="658"/>
      <c r="H2" s="658"/>
      <c r="I2" s="658"/>
      <c r="J2" s="658"/>
      <c r="K2" s="658"/>
      <c r="L2" s="658"/>
      <c r="M2" s="658"/>
    </row>
    <row r="3" spans="2:13" ht="15" customHeight="1" x14ac:dyDescent="0.25">
      <c r="B3" s="406"/>
      <c r="C3" s="406">
        <v>2015</v>
      </c>
      <c r="D3" s="406">
        <v>2020</v>
      </c>
      <c r="E3" s="406">
        <v>2030</v>
      </c>
      <c r="F3" s="406">
        <v>2040</v>
      </c>
      <c r="G3" s="406">
        <v>2050</v>
      </c>
      <c r="H3" s="659" t="s">
        <v>26</v>
      </c>
      <c r="I3" s="659"/>
      <c r="J3" s="659" t="s">
        <v>25</v>
      </c>
      <c r="K3" s="659"/>
      <c r="L3" s="418" t="s">
        <v>19</v>
      </c>
      <c r="M3" s="418" t="s">
        <v>18</v>
      </c>
    </row>
    <row r="4" spans="2:13" x14ac:dyDescent="0.25">
      <c r="B4" s="419"/>
      <c r="C4" s="419"/>
      <c r="D4" s="419"/>
      <c r="E4" s="419"/>
      <c r="F4" s="419"/>
      <c r="G4" s="419"/>
      <c r="H4" s="420" t="s">
        <v>17</v>
      </c>
      <c r="I4" s="420" t="s">
        <v>16</v>
      </c>
      <c r="J4" s="420" t="s">
        <v>17</v>
      </c>
      <c r="K4" s="420" t="s">
        <v>16</v>
      </c>
      <c r="L4" s="420"/>
      <c r="M4" s="420"/>
    </row>
    <row r="5" spans="2:13" x14ac:dyDescent="0.25">
      <c r="B5" s="421" t="s">
        <v>15</v>
      </c>
      <c r="C5" s="398"/>
      <c r="D5" s="398"/>
      <c r="E5" s="398"/>
      <c r="F5" s="398"/>
      <c r="G5" s="398"/>
      <c r="H5" s="398"/>
      <c r="I5" s="398"/>
      <c r="J5" s="398"/>
      <c r="K5" s="398"/>
      <c r="L5" s="399"/>
      <c r="M5" s="400"/>
    </row>
    <row r="6" spans="2:13" x14ac:dyDescent="0.25">
      <c r="B6" s="402" t="s">
        <v>604</v>
      </c>
      <c r="C6" s="402">
        <v>5</v>
      </c>
      <c r="D6" s="402">
        <v>50</v>
      </c>
      <c r="E6" s="402">
        <v>100</v>
      </c>
      <c r="F6" s="402">
        <v>125</v>
      </c>
      <c r="G6" s="402">
        <v>150</v>
      </c>
      <c r="H6" s="426">
        <v>0.5</v>
      </c>
      <c r="I6" s="403">
        <v>1.5</v>
      </c>
      <c r="J6" s="403">
        <v>0.5</v>
      </c>
      <c r="K6" s="403">
        <v>1.5</v>
      </c>
      <c r="L6" s="480" t="s">
        <v>420</v>
      </c>
      <c r="M6" s="404" t="s">
        <v>628</v>
      </c>
    </row>
    <row r="7" spans="2:13" x14ac:dyDescent="0.25">
      <c r="B7" s="419" t="s">
        <v>548</v>
      </c>
      <c r="C7" s="419">
        <v>3</v>
      </c>
      <c r="D7" s="419">
        <v>33</v>
      </c>
      <c r="E7" s="419">
        <v>65</v>
      </c>
      <c r="F7" s="419">
        <v>83</v>
      </c>
      <c r="G7" s="419">
        <v>100</v>
      </c>
      <c r="H7" s="424">
        <v>0.5</v>
      </c>
      <c r="I7" s="434">
        <v>1.5</v>
      </c>
      <c r="J7" s="434">
        <v>0.5</v>
      </c>
      <c r="K7" s="434">
        <v>1.5</v>
      </c>
      <c r="L7" s="481" t="s">
        <v>422</v>
      </c>
      <c r="M7" s="420" t="s">
        <v>629</v>
      </c>
    </row>
    <row r="8" spans="2:13" x14ac:dyDescent="0.25">
      <c r="B8" s="421" t="s">
        <v>249</v>
      </c>
      <c r="C8" s="398"/>
      <c r="D8" s="398"/>
      <c r="E8" s="398"/>
      <c r="F8" s="398"/>
      <c r="G8" s="398"/>
      <c r="H8" s="398"/>
      <c r="I8" s="398"/>
      <c r="J8" s="398"/>
      <c r="K8" s="398"/>
      <c r="L8" s="399"/>
      <c r="M8" s="400"/>
    </row>
    <row r="9" spans="2:13" x14ac:dyDescent="0.25">
      <c r="B9" s="402" t="s">
        <v>771</v>
      </c>
      <c r="C9" s="402">
        <v>1.37</v>
      </c>
      <c r="D9" s="402">
        <v>1.37</v>
      </c>
      <c r="E9" s="402">
        <v>1.37</v>
      </c>
      <c r="F9" s="402">
        <v>1.37</v>
      </c>
      <c r="G9" s="402">
        <v>1.37</v>
      </c>
      <c r="H9" s="426">
        <v>1</v>
      </c>
      <c r="I9" s="426">
        <v>1.1000000000000001</v>
      </c>
      <c r="J9" s="426">
        <v>1</v>
      </c>
      <c r="K9" s="426">
        <v>1.1000000000000001</v>
      </c>
      <c r="L9" s="404"/>
      <c r="M9" s="404">
        <v>5</v>
      </c>
    </row>
    <row r="10" spans="2:13" x14ac:dyDescent="0.25">
      <c r="B10" s="406" t="s">
        <v>630</v>
      </c>
      <c r="C10" s="406">
        <v>0.192</v>
      </c>
      <c r="D10" s="406">
        <v>0.192</v>
      </c>
      <c r="E10" s="406">
        <v>0.192</v>
      </c>
      <c r="F10" s="406">
        <v>0.192</v>
      </c>
      <c r="G10" s="406">
        <v>0.192</v>
      </c>
      <c r="H10" s="409">
        <v>1</v>
      </c>
      <c r="I10" s="409">
        <v>1.1000000000000001</v>
      </c>
      <c r="J10" s="409">
        <v>1</v>
      </c>
      <c r="K10" s="409">
        <v>1.1000000000000001</v>
      </c>
      <c r="L10" s="418"/>
      <c r="M10" s="418">
        <v>5</v>
      </c>
    </row>
    <row r="11" spans="2:13" x14ac:dyDescent="0.25">
      <c r="B11" s="419" t="s">
        <v>427</v>
      </c>
      <c r="C11" s="419">
        <v>1</v>
      </c>
      <c r="D11" s="419">
        <v>1</v>
      </c>
      <c r="E11" s="419">
        <v>1</v>
      </c>
      <c r="F11" s="419">
        <v>1</v>
      </c>
      <c r="G11" s="419">
        <v>1</v>
      </c>
      <c r="H11" s="424">
        <v>0.9</v>
      </c>
      <c r="I11" s="424">
        <v>1.2</v>
      </c>
      <c r="J11" s="424">
        <v>0.95</v>
      </c>
      <c r="K11" s="424">
        <v>1.1000000000000001</v>
      </c>
      <c r="L11" s="420" t="s">
        <v>3</v>
      </c>
      <c r="M11" s="420" t="s">
        <v>468</v>
      </c>
    </row>
    <row r="12" spans="2:13" x14ac:dyDescent="0.25">
      <c r="B12" s="421" t="s">
        <v>253</v>
      </c>
      <c r="C12" s="398"/>
      <c r="D12" s="398"/>
      <c r="E12" s="398"/>
      <c r="F12" s="398"/>
      <c r="G12" s="398"/>
      <c r="H12" s="425"/>
      <c r="I12" s="425"/>
      <c r="J12" s="425"/>
      <c r="K12" s="425"/>
      <c r="L12" s="399"/>
      <c r="M12" s="400"/>
    </row>
    <row r="13" spans="2:13" x14ac:dyDescent="0.25">
      <c r="B13" s="402" t="s">
        <v>606</v>
      </c>
      <c r="C13" s="402">
        <v>0.57999999999999996</v>
      </c>
      <c r="D13" s="402">
        <v>0.57999999999999996</v>
      </c>
      <c r="E13" s="402">
        <v>0.61</v>
      </c>
      <c r="F13" s="402">
        <v>0.63</v>
      </c>
      <c r="G13" s="402">
        <v>0.65</v>
      </c>
      <c r="H13" s="426">
        <v>1</v>
      </c>
      <c r="I13" s="426">
        <v>1.33</v>
      </c>
      <c r="J13" s="426">
        <v>1</v>
      </c>
      <c r="K13" s="426">
        <v>1.33</v>
      </c>
      <c r="L13" s="404" t="s">
        <v>2</v>
      </c>
      <c r="M13" s="404" t="s">
        <v>468</v>
      </c>
    </row>
    <row r="14" spans="2:13" x14ac:dyDescent="0.25">
      <c r="B14" s="419" t="s">
        <v>742</v>
      </c>
      <c r="C14" s="419">
        <v>0.25</v>
      </c>
      <c r="D14" s="419">
        <v>0.25</v>
      </c>
      <c r="E14" s="419">
        <v>0.25</v>
      </c>
      <c r="F14" s="419">
        <v>0.25</v>
      </c>
      <c r="G14" s="419">
        <v>0.25</v>
      </c>
      <c r="H14" s="424">
        <v>0</v>
      </c>
      <c r="I14" s="424">
        <v>1</v>
      </c>
      <c r="J14" s="424">
        <v>0</v>
      </c>
      <c r="K14" s="424">
        <v>1</v>
      </c>
      <c r="L14" s="420" t="s">
        <v>1</v>
      </c>
      <c r="M14" s="420" t="s">
        <v>468</v>
      </c>
    </row>
    <row r="15" spans="2:13" x14ac:dyDescent="0.25">
      <c r="B15" s="427"/>
      <c r="C15" s="398"/>
      <c r="D15" s="398"/>
      <c r="E15" s="398"/>
      <c r="F15" s="398"/>
      <c r="G15" s="398"/>
      <c r="H15" s="398"/>
      <c r="I15" s="398"/>
      <c r="J15" s="398"/>
      <c r="K15" s="398"/>
      <c r="L15" s="399"/>
      <c r="M15" s="400"/>
    </row>
    <row r="16" spans="2:13" x14ac:dyDescent="0.25">
      <c r="B16" s="402" t="s">
        <v>100</v>
      </c>
      <c r="C16" s="402">
        <v>4</v>
      </c>
      <c r="D16" s="402">
        <v>4</v>
      </c>
      <c r="E16" s="402">
        <v>0</v>
      </c>
      <c r="F16" s="402">
        <v>0</v>
      </c>
      <c r="G16" s="402">
        <v>0</v>
      </c>
      <c r="H16" s="426"/>
      <c r="I16" s="426"/>
      <c r="J16" s="426"/>
      <c r="K16" s="426"/>
      <c r="L16" s="404"/>
      <c r="M16" s="404"/>
    </row>
    <row r="17" spans="2:13" x14ac:dyDescent="0.25">
      <c r="B17" s="406" t="s">
        <v>24</v>
      </c>
      <c r="C17" s="410">
        <v>2</v>
      </c>
      <c r="D17" s="410">
        <v>2</v>
      </c>
      <c r="E17" s="410">
        <v>2</v>
      </c>
      <c r="F17" s="410">
        <v>2</v>
      </c>
      <c r="G17" s="410">
        <v>2</v>
      </c>
      <c r="H17" s="409"/>
      <c r="I17" s="409"/>
      <c r="J17" s="409"/>
      <c r="K17" s="409"/>
      <c r="L17" s="418"/>
      <c r="M17" s="418"/>
    </row>
    <row r="18" spans="2:13" x14ac:dyDescent="0.25">
      <c r="B18" s="406" t="s">
        <v>14</v>
      </c>
      <c r="C18" s="410">
        <v>25</v>
      </c>
      <c r="D18" s="410">
        <v>20</v>
      </c>
      <c r="E18" s="410">
        <v>20</v>
      </c>
      <c r="F18" s="410">
        <v>20</v>
      </c>
      <c r="G18" s="410">
        <v>20</v>
      </c>
      <c r="H18" s="406"/>
      <c r="I18" s="406"/>
      <c r="J18" s="406"/>
      <c r="K18" s="406"/>
      <c r="L18" s="418"/>
      <c r="M18" s="418"/>
    </row>
    <row r="19" spans="2:13" x14ac:dyDescent="0.25">
      <c r="B19" s="419" t="s">
        <v>12</v>
      </c>
      <c r="C19" s="428">
        <v>2</v>
      </c>
      <c r="D19" s="428">
        <v>2</v>
      </c>
      <c r="E19" s="428">
        <v>2</v>
      </c>
      <c r="F19" s="428">
        <v>2</v>
      </c>
      <c r="G19" s="428">
        <v>2</v>
      </c>
      <c r="H19" s="419"/>
      <c r="I19" s="419"/>
      <c r="J19" s="419"/>
      <c r="K19" s="419"/>
      <c r="L19" s="420"/>
      <c r="M19" s="420"/>
    </row>
    <row r="20" spans="2:13" x14ac:dyDescent="0.25">
      <c r="B20" s="421" t="s">
        <v>9</v>
      </c>
      <c r="C20" s="446"/>
      <c r="D20" s="446"/>
      <c r="E20" s="446"/>
      <c r="F20" s="446"/>
      <c r="G20" s="446"/>
      <c r="H20" s="398"/>
      <c r="I20" s="398"/>
      <c r="J20" s="398"/>
      <c r="K20" s="398"/>
      <c r="L20" s="399"/>
      <c r="M20" s="400"/>
    </row>
    <row r="21" spans="2:13" x14ac:dyDescent="0.25">
      <c r="B21" s="402" t="s">
        <v>767</v>
      </c>
      <c r="C21" s="447">
        <v>4.5134328358208959</v>
      </c>
      <c r="D21" s="447">
        <v>4.5134328358208951</v>
      </c>
      <c r="E21" s="447">
        <v>3.0089552238805966</v>
      </c>
      <c r="F21" s="447">
        <v>2.256716417910448</v>
      </c>
      <c r="G21" s="447">
        <v>1.5044776119402985</v>
      </c>
      <c r="H21" s="403">
        <v>0.5</v>
      </c>
      <c r="I21" s="403">
        <v>1</v>
      </c>
      <c r="J21" s="403">
        <v>0.8</v>
      </c>
      <c r="K21" s="403">
        <v>1.2</v>
      </c>
      <c r="L21" s="404" t="s">
        <v>0</v>
      </c>
      <c r="M21" s="404" t="s">
        <v>608</v>
      </c>
    </row>
    <row r="22" spans="2:13" x14ac:dyDescent="0.25">
      <c r="B22" s="406" t="s">
        <v>387</v>
      </c>
      <c r="C22" s="413" t="s">
        <v>388</v>
      </c>
      <c r="D22" s="413">
        <v>75</v>
      </c>
      <c r="E22" s="413">
        <v>75</v>
      </c>
      <c r="F22" s="413">
        <v>75</v>
      </c>
      <c r="G22" s="413">
        <v>75</v>
      </c>
      <c r="H22" s="407"/>
      <c r="I22" s="407"/>
      <c r="J22" s="407"/>
      <c r="K22" s="407"/>
      <c r="L22" s="418"/>
      <c r="M22" s="418"/>
    </row>
    <row r="23" spans="2:13" x14ac:dyDescent="0.25">
      <c r="B23" s="406" t="s">
        <v>435</v>
      </c>
      <c r="C23" s="413">
        <v>25</v>
      </c>
      <c r="D23" s="413">
        <v>25</v>
      </c>
      <c r="E23" s="413">
        <v>25</v>
      </c>
      <c r="F23" s="413">
        <v>25</v>
      </c>
      <c r="G23" s="413">
        <v>25</v>
      </c>
      <c r="H23" s="407"/>
      <c r="I23" s="407"/>
      <c r="J23" s="407"/>
      <c r="K23" s="407"/>
      <c r="L23" s="418"/>
      <c r="M23" s="418"/>
    </row>
    <row r="24" spans="2:13" x14ac:dyDescent="0.25">
      <c r="B24" s="406" t="s">
        <v>772</v>
      </c>
      <c r="C24" s="414">
        <v>5.2656716417910455E-2</v>
      </c>
      <c r="D24" s="414">
        <v>5.2656716417910449E-2</v>
      </c>
      <c r="E24" s="414">
        <v>5.2656716417910449E-2</v>
      </c>
      <c r="F24" s="414">
        <v>5.2656716417910449E-2</v>
      </c>
      <c r="G24" s="414">
        <v>5.2656716417910455E-2</v>
      </c>
      <c r="H24" s="407">
        <v>0.9</v>
      </c>
      <c r="I24" s="407">
        <v>1.1000000000000001</v>
      </c>
      <c r="J24" s="407">
        <v>0.9</v>
      </c>
      <c r="K24" s="407">
        <v>1.1000000000000001</v>
      </c>
      <c r="L24" s="418" t="s">
        <v>322</v>
      </c>
      <c r="M24" s="418">
        <v>1</v>
      </c>
    </row>
    <row r="25" spans="2:13" x14ac:dyDescent="0.25">
      <c r="B25" s="406" t="s">
        <v>731</v>
      </c>
      <c r="C25" s="412">
        <v>6.2686567164179117</v>
      </c>
      <c r="D25" s="412">
        <v>6.2686567164179108</v>
      </c>
      <c r="E25" s="412">
        <v>6.2686567164179108</v>
      </c>
      <c r="F25" s="412">
        <v>6.2686567164179108</v>
      </c>
      <c r="G25" s="412">
        <v>6.2686567164179117</v>
      </c>
      <c r="H25" s="407">
        <v>0.9</v>
      </c>
      <c r="I25" s="407">
        <v>1.1000000000000001</v>
      </c>
      <c r="J25" s="407">
        <v>0.9</v>
      </c>
      <c r="K25" s="407">
        <v>1.1000000000000001</v>
      </c>
      <c r="L25" s="418" t="s">
        <v>322</v>
      </c>
      <c r="M25" s="418">
        <v>1</v>
      </c>
    </row>
    <row r="26" spans="2:13" x14ac:dyDescent="0.25">
      <c r="B26" s="419" t="s">
        <v>632</v>
      </c>
      <c r="C26" s="451">
        <v>0</v>
      </c>
      <c r="D26" s="419">
        <v>0</v>
      </c>
      <c r="E26" s="419">
        <v>0</v>
      </c>
      <c r="F26" s="419">
        <v>0</v>
      </c>
      <c r="G26" s="419">
        <v>0</v>
      </c>
      <c r="H26" s="434"/>
      <c r="I26" s="434"/>
      <c r="J26" s="434"/>
      <c r="K26" s="434"/>
      <c r="L26" s="420"/>
      <c r="M26" s="420"/>
    </row>
    <row r="27" spans="2:13" x14ac:dyDescent="0.25">
      <c r="B27" s="421" t="s">
        <v>268</v>
      </c>
      <c r="C27" s="398"/>
      <c r="D27" s="398"/>
      <c r="E27" s="398"/>
      <c r="F27" s="398"/>
      <c r="G27" s="398"/>
      <c r="H27" s="482"/>
      <c r="I27" s="482"/>
      <c r="J27" s="482"/>
      <c r="K27" s="482"/>
      <c r="L27" s="399"/>
      <c r="M27" s="400"/>
    </row>
    <row r="28" spans="2:13" x14ac:dyDescent="0.25">
      <c r="B28" s="402" t="s">
        <v>613</v>
      </c>
      <c r="C28" s="452">
        <v>20.100000000000001</v>
      </c>
      <c r="D28" s="452">
        <v>20.100000000000001</v>
      </c>
      <c r="E28" s="452">
        <v>20.100000000000001</v>
      </c>
      <c r="F28" s="452">
        <v>20.100000000000001</v>
      </c>
      <c r="G28" s="452">
        <v>20.100000000000001</v>
      </c>
      <c r="H28" s="403"/>
      <c r="I28" s="403"/>
      <c r="J28" s="403"/>
      <c r="K28" s="403"/>
      <c r="L28" s="404"/>
      <c r="M28" s="404"/>
    </row>
    <row r="29" spans="2:13" x14ac:dyDescent="0.25">
      <c r="B29" s="406" t="s">
        <v>733</v>
      </c>
      <c r="C29" s="410">
        <v>0.79</v>
      </c>
      <c r="D29" s="410">
        <v>0.79</v>
      </c>
      <c r="E29" s="410">
        <v>0.79</v>
      </c>
      <c r="F29" s="410">
        <v>0.79</v>
      </c>
      <c r="G29" s="410">
        <v>0.79</v>
      </c>
      <c r="H29" s="407"/>
      <c r="I29" s="407"/>
      <c r="J29" s="407"/>
      <c r="K29" s="407"/>
      <c r="L29" s="418"/>
      <c r="M29" s="418"/>
    </row>
    <row r="30" spans="2:13" x14ac:dyDescent="0.25">
      <c r="B30" s="406" t="s">
        <v>607</v>
      </c>
      <c r="C30" s="450">
        <v>3</v>
      </c>
      <c r="D30" s="450">
        <v>3</v>
      </c>
      <c r="E30" s="450">
        <v>2</v>
      </c>
      <c r="F30" s="450">
        <v>1.5</v>
      </c>
      <c r="G30" s="450">
        <v>1</v>
      </c>
      <c r="H30" s="407">
        <v>0.5</v>
      </c>
      <c r="I30" s="407">
        <v>1</v>
      </c>
      <c r="J30" s="407">
        <v>0.8</v>
      </c>
      <c r="K30" s="407">
        <v>1.2</v>
      </c>
      <c r="L30" s="418" t="s">
        <v>0</v>
      </c>
      <c r="M30" s="418" t="s">
        <v>608</v>
      </c>
    </row>
    <row r="31" spans="2:13" x14ac:dyDescent="0.25">
      <c r="B31" s="406" t="s">
        <v>387</v>
      </c>
      <c r="C31" s="413" t="s">
        <v>388</v>
      </c>
      <c r="D31" s="413">
        <v>75</v>
      </c>
      <c r="E31" s="413">
        <v>75</v>
      </c>
      <c r="F31" s="413">
        <v>75</v>
      </c>
      <c r="G31" s="413">
        <v>75</v>
      </c>
      <c r="H31" s="407"/>
      <c r="I31" s="407"/>
      <c r="J31" s="407"/>
      <c r="K31" s="407"/>
      <c r="L31" s="418"/>
      <c r="M31" s="418"/>
    </row>
    <row r="32" spans="2:13" x14ac:dyDescent="0.25">
      <c r="B32" s="406" t="s">
        <v>435</v>
      </c>
      <c r="C32" s="413">
        <v>25</v>
      </c>
      <c r="D32" s="413">
        <v>25</v>
      </c>
      <c r="E32" s="413">
        <v>25</v>
      </c>
      <c r="F32" s="413">
        <v>25</v>
      </c>
      <c r="G32" s="413">
        <v>25</v>
      </c>
      <c r="H32" s="407"/>
      <c r="I32" s="407"/>
      <c r="J32" s="407"/>
      <c r="K32" s="407"/>
      <c r="L32" s="418"/>
      <c r="M32" s="418"/>
    </row>
    <row r="33" spans="2:13" x14ac:dyDescent="0.25">
      <c r="B33" s="406" t="s">
        <v>609</v>
      </c>
      <c r="C33" s="414">
        <v>3.5000000000000003E-2</v>
      </c>
      <c r="D33" s="414">
        <v>3.5000000000000003E-2</v>
      </c>
      <c r="E33" s="414">
        <v>3.5000000000000003E-2</v>
      </c>
      <c r="F33" s="414">
        <v>3.5000000000000003E-2</v>
      </c>
      <c r="G33" s="414">
        <v>3.5000000000000003E-2</v>
      </c>
      <c r="H33" s="407">
        <v>0.9</v>
      </c>
      <c r="I33" s="407">
        <v>1.1000000000000001</v>
      </c>
      <c r="J33" s="407">
        <v>0.9</v>
      </c>
      <c r="K33" s="407">
        <v>1.1000000000000001</v>
      </c>
      <c r="L33" s="418" t="s">
        <v>322</v>
      </c>
      <c r="M33" s="418">
        <v>1</v>
      </c>
    </row>
    <row r="34" spans="2:13" x14ac:dyDescent="0.25">
      <c r="B34" s="406" t="s">
        <v>610</v>
      </c>
      <c r="C34" s="414">
        <v>3.5000000000000003E-2</v>
      </c>
      <c r="D34" s="414">
        <v>3.5000000000000003E-2</v>
      </c>
      <c r="E34" s="414">
        <v>3.5000000000000003E-2</v>
      </c>
      <c r="F34" s="414">
        <v>3.5000000000000003E-2</v>
      </c>
      <c r="G34" s="414">
        <v>3.5000000000000003E-2</v>
      </c>
      <c r="H34" s="407">
        <v>0.9</v>
      </c>
      <c r="I34" s="407">
        <v>1.1000000000000001</v>
      </c>
      <c r="J34" s="407">
        <v>0.9</v>
      </c>
      <c r="K34" s="407">
        <v>1.1000000000000001</v>
      </c>
      <c r="L34" s="418" t="s">
        <v>322</v>
      </c>
      <c r="M34" s="418">
        <v>1</v>
      </c>
    </row>
    <row r="35" spans="2:13" x14ac:dyDescent="0.25">
      <c r="B35" s="406" t="s">
        <v>632</v>
      </c>
      <c r="C35" s="413">
        <v>0</v>
      </c>
      <c r="D35" s="406">
        <v>0</v>
      </c>
      <c r="E35" s="406">
        <v>0</v>
      </c>
      <c r="F35" s="406"/>
      <c r="G35" s="406">
        <v>0</v>
      </c>
      <c r="H35" s="406"/>
      <c r="I35" s="406"/>
      <c r="J35" s="406"/>
      <c r="K35" s="406"/>
      <c r="L35" s="418"/>
      <c r="M35" s="418"/>
    </row>
    <row r="37" spans="2:13" x14ac:dyDescent="0.25">
      <c r="B37" s="350" t="s">
        <v>6</v>
      </c>
    </row>
    <row r="38" spans="2:13" x14ac:dyDescent="0.25">
      <c r="B38" s="349" t="s">
        <v>633</v>
      </c>
    </row>
    <row r="39" spans="2:13" x14ac:dyDescent="0.25">
      <c r="B39" s="349" t="s">
        <v>615</v>
      </c>
    </row>
    <row r="40" spans="2:13" x14ac:dyDescent="0.25">
      <c r="B40" s="349" t="s">
        <v>634</v>
      </c>
    </row>
    <row r="41" spans="2:13" x14ac:dyDescent="0.25">
      <c r="B41" s="349" t="s">
        <v>635</v>
      </c>
    </row>
    <row r="42" spans="2:13" x14ac:dyDescent="0.25">
      <c r="B42" s="349" t="s">
        <v>636</v>
      </c>
    </row>
    <row r="43" spans="2:13" x14ac:dyDescent="0.25">
      <c r="B43" s="349" t="s">
        <v>637</v>
      </c>
    </row>
    <row r="44" spans="2:13" x14ac:dyDescent="0.25">
      <c r="B44" s="349" t="s">
        <v>638</v>
      </c>
    </row>
    <row r="45" spans="2:13" x14ac:dyDescent="0.25">
      <c r="B45" s="349" t="s">
        <v>639</v>
      </c>
    </row>
    <row r="46" spans="2:13" x14ac:dyDescent="0.25">
      <c r="B46" s="349" t="s">
        <v>640</v>
      </c>
    </row>
    <row r="48" spans="2:13" x14ac:dyDescent="0.25">
      <c r="B48" s="350" t="s">
        <v>408</v>
      </c>
    </row>
    <row r="49" spans="2:2" x14ac:dyDescent="0.25">
      <c r="B49" s="349" t="s">
        <v>641</v>
      </c>
    </row>
    <row r="50" spans="2:2" x14ac:dyDescent="0.25">
      <c r="B50" s="349" t="s">
        <v>642</v>
      </c>
    </row>
    <row r="51" spans="2:2" x14ac:dyDescent="0.25">
      <c r="B51" s="349" t="s">
        <v>643</v>
      </c>
    </row>
    <row r="52" spans="2:2" x14ac:dyDescent="0.25">
      <c r="B52" s="349" t="s">
        <v>644</v>
      </c>
    </row>
    <row r="53" spans="2:2" x14ac:dyDescent="0.25">
      <c r="B53" s="349" t="s">
        <v>645</v>
      </c>
    </row>
    <row r="54" spans="2:2" x14ac:dyDescent="0.25">
      <c r="B54" s="349" t="s">
        <v>646</v>
      </c>
    </row>
    <row r="55" spans="2:2" x14ac:dyDescent="0.25">
      <c r="B55" s="349" t="s">
        <v>647</v>
      </c>
    </row>
    <row r="56" spans="2:2" x14ac:dyDescent="0.25">
      <c r="B56" s="349" t="s">
        <v>648</v>
      </c>
    </row>
    <row r="57" spans="2:2" x14ac:dyDescent="0.25">
      <c r="B57" s="349" t="s">
        <v>649</v>
      </c>
    </row>
    <row r="58" spans="2:2" x14ac:dyDescent="0.25">
      <c r="B58" s="349" t="s">
        <v>650</v>
      </c>
    </row>
    <row r="59" spans="2:2" x14ac:dyDescent="0.25">
      <c r="B59" s="349" t="s">
        <v>651</v>
      </c>
    </row>
    <row r="60" spans="2:2" x14ac:dyDescent="0.25">
      <c r="B60" s="349" t="s">
        <v>652</v>
      </c>
    </row>
    <row r="61" spans="2:2" x14ac:dyDescent="0.25">
      <c r="B61" s="349" t="s">
        <v>653</v>
      </c>
    </row>
  </sheetData>
  <mergeCells count="3">
    <mergeCell ref="C2:M2"/>
    <mergeCell ref="H3:I3"/>
    <mergeCell ref="J3:K3"/>
  </mergeCells>
  <hyperlinks>
    <hyperlink ref="B49" r:id="rId1" display="http://serenergy.com/next-generation-of-methanol-fuel-cell-vehicles-sees-the-light-of-day/"/>
    <hyperlink ref="B50" r:id="rId2" display="https://eu-ems.com/event_images/presentations/Benedikt Stefansson presentation.pdf"/>
    <hyperlink ref="B51" r:id="rId3" display="https://www.co2-cato.org/cato-download/4123/20170512_143353_20-11.00-Stefansson-public.pdf"/>
    <hyperlink ref="B52" r:id="rId4" display="http://www.mefco2.eu/pdf/MefCO2_Brochure_00.pdf"/>
    <hyperlink ref="B53" r:id="rId5" display="http://dx.doi.org/10.1016/j.ijhydene.2015.12.074"/>
    <hyperlink ref="B54" r:id="rId6" display="http://www.methanol.org/the-methanol-industry/"/>
    <hyperlink ref="B55" r:id="rId7" display="https://energy.gov/sites/prod/files/2017/06/f34/fcto_may_2017_h2_scale_wkshp_hovsapian.pdf"/>
    <hyperlink ref="B56" r:id="rId8" display="https://doi.org/10.1016/j.renene.2015.07.066"/>
    <hyperlink ref="B57" r:id="rId9" display="http://serenergy.com/wp-content/uploads/2015/11/GreenSynFuels_report_final.pdf"/>
    <hyperlink ref="B58" r:id="rId10" display="https://www.topsoe.com/processes/gasoline-synthesis/gasoline-synthesis-tigas"/>
    <hyperlink ref="B59" r:id="rId11" display="https://dx.doi.org/10.2790/981669"/>
    <hyperlink ref="B60" r:id="rId12" display="http://www.enea-consulting.com/wp-content/uploads/2016/01/ENEA-Consulting-The-potential-of-power-to-gas.pdf"/>
    <hyperlink ref="B61" r:id="rId13" display="http://carbonrecycling.is/comercial-scale/"/>
    <hyperlink ref="H1" location="Index" display="Back to Index"/>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M55"/>
  <sheetViews>
    <sheetView workbookViewId="0">
      <selection activeCell="D37" sqref="D37"/>
    </sheetView>
  </sheetViews>
  <sheetFormatPr defaultRowHeight="15" x14ac:dyDescent="0.25"/>
  <cols>
    <col min="1" max="1" width="2.7109375" customWidth="1"/>
    <col min="2" max="2" width="25.42578125" customWidth="1"/>
    <col min="3" max="12" width="6.7109375" customWidth="1"/>
  </cols>
  <sheetData>
    <row r="1" spans="2:13" x14ac:dyDescent="0.25">
      <c r="H1" s="355" t="s">
        <v>709</v>
      </c>
    </row>
    <row r="2" spans="2:13" ht="15" customHeight="1" x14ac:dyDescent="0.25">
      <c r="B2" s="393" t="s">
        <v>20</v>
      </c>
      <c r="C2" s="658" t="s">
        <v>654</v>
      </c>
      <c r="D2" s="658"/>
      <c r="E2" s="658"/>
      <c r="F2" s="658"/>
      <c r="G2" s="658"/>
      <c r="H2" s="658"/>
      <c r="I2" s="658"/>
      <c r="J2" s="658"/>
      <c r="K2" s="658"/>
      <c r="L2" s="658"/>
      <c r="M2" s="658"/>
    </row>
    <row r="3" spans="2:13" ht="15" customHeight="1" x14ac:dyDescent="0.25">
      <c r="B3" s="406"/>
      <c r="C3" s="406">
        <v>2015</v>
      </c>
      <c r="D3" s="406">
        <v>2020</v>
      </c>
      <c r="E3" s="406">
        <v>2030</v>
      </c>
      <c r="F3" s="406">
        <v>2040</v>
      </c>
      <c r="G3" s="406">
        <v>2050</v>
      </c>
      <c r="H3" s="659" t="s">
        <v>26</v>
      </c>
      <c r="I3" s="659"/>
      <c r="J3" s="659" t="s">
        <v>25</v>
      </c>
      <c r="K3" s="659"/>
      <c r="L3" s="418" t="s">
        <v>19</v>
      </c>
      <c r="M3" s="418" t="s">
        <v>18</v>
      </c>
    </row>
    <row r="4" spans="2:13" x14ac:dyDescent="0.25">
      <c r="B4" s="419"/>
      <c r="C4" s="419"/>
      <c r="D4" s="419"/>
      <c r="E4" s="419"/>
      <c r="F4" s="419"/>
      <c r="G4" s="419"/>
      <c r="H4" s="420" t="s">
        <v>17</v>
      </c>
      <c r="I4" s="420" t="s">
        <v>16</v>
      </c>
      <c r="J4" s="420" t="s">
        <v>17</v>
      </c>
      <c r="K4" s="420" t="s">
        <v>16</v>
      </c>
      <c r="L4" s="420"/>
      <c r="M4" s="420"/>
    </row>
    <row r="5" spans="2:13" x14ac:dyDescent="0.25">
      <c r="B5" s="421" t="s">
        <v>15</v>
      </c>
      <c r="C5" s="398"/>
      <c r="D5" s="398"/>
      <c r="E5" s="398"/>
      <c r="F5" s="398"/>
      <c r="G5" s="398"/>
      <c r="H5" s="398"/>
      <c r="I5" s="398"/>
      <c r="J5" s="398"/>
      <c r="K5" s="398"/>
      <c r="L5" s="399"/>
      <c r="M5" s="400"/>
    </row>
    <row r="6" spans="2:13" x14ac:dyDescent="0.25">
      <c r="B6" s="402" t="s">
        <v>655</v>
      </c>
      <c r="C6" s="402">
        <v>70</v>
      </c>
      <c r="D6" s="402">
        <v>100</v>
      </c>
      <c r="E6" s="402">
        <v>250</v>
      </c>
      <c r="F6" s="402">
        <v>500</v>
      </c>
      <c r="G6" s="402">
        <v>700</v>
      </c>
      <c r="H6" s="403">
        <v>0.75</v>
      </c>
      <c r="I6" s="403">
        <v>1.25</v>
      </c>
      <c r="J6" s="403">
        <v>0.75</v>
      </c>
      <c r="K6" s="403">
        <v>1.25</v>
      </c>
      <c r="L6" s="404" t="s">
        <v>420</v>
      </c>
      <c r="M6" s="404" t="s">
        <v>656</v>
      </c>
    </row>
    <row r="7" spans="2:13" x14ac:dyDescent="0.25">
      <c r="B7" s="419" t="s">
        <v>548</v>
      </c>
      <c r="C7" s="483">
        <v>2.3148148148148149</v>
      </c>
      <c r="D7" s="483">
        <v>3.306878306878307</v>
      </c>
      <c r="E7" s="483">
        <v>8.2671957671957657</v>
      </c>
      <c r="F7" s="483">
        <v>16.534391534391531</v>
      </c>
      <c r="G7" s="483">
        <v>23.148148148148149</v>
      </c>
      <c r="H7" s="434">
        <v>0.75</v>
      </c>
      <c r="I7" s="434">
        <v>1.25</v>
      </c>
      <c r="J7" s="434">
        <v>0.75</v>
      </c>
      <c r="K7" s="434">
        <v>1.25</v>
      </c>
      <c r="L7" s="420" t="s">
        <v>773</v>
      </c>
      <c r="M7" s="420" t="s">
        <v>656</v>
      </c>
    </row>
    <row r="8" spans="2:13" x14ac:dyDescent="0.25">
      <c r="B8" s="421" t="s">
        <v>376</v>
      </c>
      <c r="C8" s="398"/>
      <c r="D8" s="398"/>
      <c r="E8" s="398"/>
      <c r="F8" s="398"/>
      <c r="G8" s="398"/>
      <c r="H8" s="398"/>
      <c r="I8" s="398"/>
      <c r="J8" s="398"/>
      <c r="K8" s="398"/>
      <c r="L8" s="399"/>
      <c r="M8" s="400"/>
    </row>
    <row r="9" spans="2:13" x14ac:dyDescent="0.25">
      <c r="B9" s="402" t="s">
        <v>657</v>
      </c>
      <c r="C9" s="402">
        <v>0.53</v>
      </c>
      <c r="D9" s="402">
        <v>0.53</v>
      </c>
      <c r="E9" s="402">
        <v>0.53</v>
      </c>
      <c r="F9" s="402">
        <v>0.53</v>
      </c>
      <c r="G9" s="402">
        <v>0.53</v>
      </c>
      <c r="H9" s="426">
        <v>0.8</v>
      </c>
      <c r="I9" s="426">
        <v>1.2</v>
      </c>
      <c r="J9" s="426">
        <v>0.8</v>
      </c>
      <c r="K9" s="426">
        <v>1.2</v>
      </c>
      <c r="L9" s="404" t="s">
        <v>658</v>
      </c>
      <c r="M9" s="404">
        <v>2</v>
      </c>
    </row>
    <row r="10" spans="2:13" x14ac:dyDescent="0.25">
      <c r="B10" s="406" t="s">
        <v>659</v>
      </c>
      <c r="C10" s="406">
        <v>0.46</v>
      </c>
      <c r="D10" s="406">
        <v>0.46</v>
      </c>
      <c r="E10" s="406">
        <v>0.46</v>
      </c>
      <c r="F10" s="406">
        <v>0.46</v>
      </c>
      <c r="G10" s="406">
        <v>0.46</v>
      </c>
      <c r="H10" s="409">
        <v>0.8</v>
      </c>
      <c r="I10" s="409">
        <v>1.2</v>
      </c>
      <c r="J10" s="409">
        <v>0.8</v>
      </c>
      <c r="K10" s="409">
        <v>1.2</v>
      </c>
      <c r="L10" s="418" t="s">
        <v>774</v>
      </c>
      <c r="M10" s="418">
        <v>2</v>
      </c>
    </row>
    <row r="11" spans="2:13" x14ac:dyDescent="0.25">
      <c r="B11" s="419" t="s">
        <v>381</v>
      </c>
      <c r="C11" s="419">
        <v>0.01</v>
      </c>
      <c r="D11" s="419">
        <v>0.01</v>
      </c>
      <c r="E11" s="419">
        <v>0.01</v>
      </c>
      <c r="F11" s="419">
        <v>0.01</v>
      </c>
      <c r="G11" s="419">
        <v>0.01</v>
      </c>
      <c r="H11" s="424">
        <v>0.5</v>
      </c>
      <c r="I11" s="424">
        <v>1.5</v>
      </c>
      <c r="J11" s="424">
        <v>0.5</v>
      </c>
      <c r="K11" s="424">
        <v>1.5</v>
      </c>
      <c r="L11" s="420" t="s">
        <v>2</v>
      </c>
      <c r="M11" s="420">
        <v>2</v>
      </c>
    </row>
    <row r="12" spans="2:13" x14ac:dyDescent="0.25">
      <c r="B12" s="421" t="s">
        <v>253</v>
      </c>
      <c r="C12" s="398"/>
      <c r="D12" s="398"/>
      <c r="E12" s="398"/>
      <c r="F12" s="398"/>
      <c r="G12" s="398"/>
      <c r="H12" s="425"/>
      <c r="I12" s="425"/>
      <c r="J12" s="425"/>
      <c r="K12" s="425"/>
      <c r="L12" s="399"/>
      <c r="M12" s="400"/>
    </row>
    <row r="13" spans="2:13" x14ac:dyDescent="0.25">
      <c r="B13" s="402" t="s">
        <v>660</v>
      </c>
      <c r="C13" s="402">
        <v>0.89</v>
      </c>
      <c r="D13" s="402">
        <v>0.89</v>
      </c>
      <c r="E13" s="402">
        <v>0.89</v>
      </c>
      <c r="F13" s="402">
        <v>0.89</v>
      </c>
      <c r="G13" s="402">
        <v>0.89</v>
      </c>
      <c r="H13" s="403">
        <v>0.9</v>
      </c>
      <c r="I13" s="403">
        <v>1.1000000000000001</v>
      </c>
      <c r="J13" s="403">
        <v>0.95</v>
      </c>
      <c r="K13" s="403">
        <v>1.05</v>
      </c>
      <c r="L13" s="404" t="s">
        <v>41</v>
      </c>
      <c r="M13" s="404">
        <v>2</v>
      </c>
    </row>
    <row r="14" spans="2:13" x14ac:dyDescent="0.25">
      <c r="B14" s="419" t="s">
        <v>742</v>
      </c>
      <c r="C14" s="484">
        <v>0.1</v>
      </c>
      <c r="D14" s="484">
        <v>0.1</v>
      </c>
      <c r="E14" s="484">
        <v>0.1</v>
      </c>
      <c r="F14" s="484">
        <v>0.1</v>
      </c>
      <c r="G14" s="484">
        <v>0.1</v>
      </c>
      <c r="H14" s="424">
        <v>0.5</v>
      </c>
      <c r="I14" s="424">
        <v>1.5</v>
      </c>
      <c r="J14" s="424">
        <v>0.5</v>
      </c>
      <c r="K14" s="424">
        <v>1.5</v>
      </c>
      <c r="L14" s="420" t="s">
        <v>41</v>
      </c>
      <c r="M14" s="420">
        <v>2</v>
      </c>
    </row>
    <row r="15" spans="2:13" x14ac:dyDescent="0.25">
      <c r="B15" s="427"/>
      <c r="C15" s="398"/>
      <c r="D15" s="398"/>
      <c r="E15" s="398"/>
      <c r="F15" s="398"/>
      <c r="G15" s="398"/>
      <c r="H15" s="425"/>
      <c r="I15" s="425"/>
      <c r="J15" s="425"/>
      <c r="K15" s="425"/>
      <c r="L15" s="399"/>
      <c r="M15" s="400"/>
    </row>
    <row r="16" spans="2:13" x14ac:dyDescent="0.25">
      <c r="B16" s="402" t="s">
        <v>100</v>
      </c>
      <c r="C16" s="402">
        <v>4</v>
      </c>
      <c r="D16" s="402">
        <v>4</v>
      </c>
      <c r="E16" s="402">
        <v>0</v>
      </c>
      <c r="F16" s="402">
        <v>0</v>
      </c>
      <c r="G16" s="402">
        <v>0</v>
      </c>
      <c r="H16" s="402"/>
      <c r="I16" s="402"/>
      <c r="J16" s="402"/>
      <c r="K16" s="402"/>
      <c r="L16" s="404" t="s">
        <v>0</v>
      </c>
      <c r="M16" s="404"/>
    </row>
    <row r="17" spans="2:13" x14ac:dyDescent="0.25">
      <c r="B17" s="406" t="s">
        <v>24</v>
      </c>
      <c r="C17" s="410">
        <v>2</v>
      </c>
      <c r="D17" s="410">
        <v>2</v>
      </c>
      <c r="E17" s="410">
        <v>2</v>
      </c>
      <c r="F17" s="410">
        <v>2</v>
      </c>
      <c r="G17" s="410">
        <v>2</v>
      </c>
      <c r="H17" s="406"/>
      <c r="I17" s="406"/>
      <c r="J17" s="406"/>
      <c r="K17" s="406"/>
      <c r="L17" s="418"/>
      <c r="M17" s="418"/>
    </row>
    <row r="18" spans="2:13" x14ac:dyDescent="0.25">
      <c r="B18" s="406" t="s">
        <v>14</v>
      </c>
      <c r="C18" s="410">
        <v>25</v>
      </c>
      <c r="D18" s="410">
        <v>25</v>
      </c>
      <c r="E18" s="410">
        <v>25</v>
      </c>
      <c r="F18" s="410">
        <v>25</v>
      </c>
      <c r="G18" s="410">
        <v>25</v>
      </c>
      <c r="H18" s="406"/>
      <c r="I18" s="406"/>
      <c r="J18" s="406"/>
      <c r="K18" s="406"/>
      <c r="L18" s="418"/>
      <c r="M18" s="418"/>
    </row>
    <row r="19" spans="2:13" x14ac:dyDescent="0.25">
      <c r="B19" s="419" t="s">
        <v>12</v>
      </c>
      <c r="C19" s="428">
        <v>1</v>
      </c>
      <c r="D19" s="428">
        <v>1</v>
      </c>
      <c r="E19" s="428">
        <v>1</v>
      </c>
      <c r="F19" s="428">
        <v>1</v>
      </c>
      <c r="G19" s="428">
        <v>1</v>
      </c>
      <c r="H19" s="419"/>
      <c r="I19" s="419"/>
      <c r="J19" s="419"/>
      <c r="K19" s="419"/>
      <c r="L19" s="420"/>
      <c r="M19" s="420"/>
    </row>
    <row r="20" spans="2:13" x14ac:dyDescent="0.25">
      <c r="B20" s="421" t="s">
        <v>9</v>
      </c>
      <c r="C20" s="446"/>
      <c r="D20" s="446"/>
      <c r="E20" s="446"/>
      <c r="F20" s="446"/>
      <c r="G20" s="446"/>
      <c r="H20" s="398"/>
      <c r="I20" s="398"/>
      <c r="J20" s="398"/>
      <c r="K20" s="398"/>
      <c r="L20" s="399"/>
      <c r="M20" s="400"/>
    </row>
    <row r="21" spans="2:13" x14ac:dyDescent="0.25">
      <c r="B21" s="402" t="s">
        <v>775</v>
      </c>
      <c r="C21" s="447">
        <v>1.0886400000000001</v>
      </c>
      <c r="D21" s="447">
        <v>0.90720000000000001</v>
      </c>
      <c r="E21" s="447">
        <v>0.75600000000000012</v>
      </c>
      <c r="F21" s="447">
        <v>0.60480000000000012</v>
      </c>
      <c r="G21" s="447">
        <v>0.4536</v>
      </c>
      <c r="H21" s="403">
        <v>0.5</v>
      </c>
      <c r="I21" s="403">
        <v>1.5</v>
      </c>
      <c r="J21" s="403">
        <v>0.5</v>
      </c>
      <c r="K21" s="403">
        <v>1.5</v>
      </c>
      <c r="L21" s="404" t="s">
        <v>42</v>
      </c>
      <c r="M21" s="404">
        <v>1</v>
      </c>
    </row>
    <row r="22" spans="2:13" x14ac:dyDescent="0.25">
      <c r="B22" s="406" t="s">
        <v>434</v>
      </c>
      <c r="C22" s="406">
        <v>75</v>
      </c>
      <c r="D22" s="406">
        <v>75</v>
      </c>
      <c r="E22" s="406">
        <v>75</v>
      </c>
      <c r="F22" s="406">
        <v>75</v>
      </c>
      <c r="G22" s="406">
        <v>75</v>
      </c>
      <c r="H22" s="407"/>
      <c r="I22" s="407"/>
      <c r="J22" s="407"/>
      <c r="K22" s="407"/>
      <c r="L22" s="418"/>
      <c r="M22" s="418"/>
    </row>
    <row r="23" spans="2:13" x14ac:dyDescent="0.25">
      <c r="B23" s="406" t="s">
        <v>435</v>
      </c>
      <c r="C23" s="413">
        <v>25</v>
      </c>
      <c r="D23" s="406">
        <v>25</v>
      </c>
      <c r="E23" s="406">
        <v>25</v>
      </c>
      <c r="F23" s="406">
        <v>25</v>
      </c>
      <c r="G23" s="406">
        <v>25</v>
      </c>
      <c r="H23" s="407"/>
      <c r="I23" s="407"/>
      <c r="J23" s="407"/>
      <c r="K23" s="407"/>
      <c r="L23" s="418"/>
      <c r="M23" s="418"/>
    </row>
    <row r="24" spans="2:13" x14ac:dyDescent="0.25">
      <c r="B24" s="406" t="s">
        <v>776</v>
      </c>
      <c r="C24" s="477">
        <v>4.3545599999999997E-2</v>
      </c>
      <c r="D24" s="414">
        <v>3.6288000000000001E-2</v>
      </c>
      <c r="E24" s="414">
        <v>3.0240000000000006E-2</v>
      </c>
      <c r="F24" s="414">
        <v>2.4192000000000005E-2</v>
      </c>
      <c r="G24" s="414">
        <v>1.8144E-2</v>
      </c>
      <c r="H24" s="407">
        <v>0.9</v>
      </c>
      <c r="I24" s="407">
        <v>1.1000000000000001</v>
      </c>
      <c r="J24" s="407">
        <v>0.9</v>
      </c>
      <c r="K24" s="407">
        <v>1.1000000000000001</v>
      </c>
      <c r="L24" s="418"/>
      <c r="M24" s="418">
        <v>1</v>
      </c>
    </row>
    <row r="25" spans="2:13" x14ac:dyDescent="0.25">
      <c r="B25" s="406" t="s">
        <v>777</v>
      </c>
      <c r="C25" s="412">
        <v>5.1840000000000002</v>
      </c>
      <c r="D25" s="412">
        <v>4.32</v>
      </c>
      <c r="E25" s="412">
        <v>3.6000000000000005</v>
      </c>
      <c r="F25" s="412">
        <v>2.8800000000000003</v>
      </c>
      <c r="G25" s="412">
        <v>2.16</v>
      </c>
      <c r="H25" s="407">
        <v>0.9</v>
      </c>
      <c r="I25" s="407">
        <v>1.1000000000000001</v>
      </c>
      <c r="J25" s="407">
        <v>0.9</v>
      </c>
      <c r="K25" s="407">
        <v>1.1000000000000001</v>
      </c>
      <c r="L25" s="418"/>
      <c r="M25" s="418">
        <v>1</v>
      </c>
    </row>
    <row r="26" spans="2:13" x14ac:dyDescent="0.25">
      <c r="B26" s="419" t="s">
        <v>663</v>
      </c>
      <c r="C26" s="419">
        <v>0</v>
      </c>
      <c r="D26" s="419">
        <v>0</v>
      </c>
      <c r="E26" s="419">
        <v>0</v>
      </c>
      <c r="F26" s="419">
        <v>0</v>
      </c>
      <c r="G26" s="419">
        <v>0</v>
      </c>
      <c r="H26" s="434"/>
      <c r="I26" s="434"/>
      <c r="J26" s="434"/>
      <c r="K26" s="434"/>
      <c r="L26" s="420"/>
      <c r="M26" s="420"/>
    </row>
    <row r="27" spans="2:13" x14ac:dyDescent="0.25">
      <c r="B27" s="421" t="s">
        <v>268</v>
      </c>
      <c r="C27" s="398"/>
      <c r="D27" s="398"/>
      <c r="E27" s="398"/>
      <c r="F27" s="398"/>
      <c r="G27" s="398"/>
      <c r="H27" s="482"/>
      <c r="I27" s="482"/>
      <c r="J27" s="482"/>
      <c r="K27" s="482"/>
      <c r="L27" s="399"/>
      <c r="M27" s="400"/>
    </row>
    <row r="28" spans="2:13" x14ac:dyDescent="0.25">
      <c r="B28" s="402" t="s">
        <v>664</v>
      </c>
      <c r="C28" s="452">
        <v>50.7</v>
      </c>
      <c r="D28" s="452">
        <v>50.7</v>
      </c>
      <c r="E28" s="452">
        <v>50.7</v>
      </c>
      <c r="F28" s="452">
        <v>50.7</v>
      </c>
      <c r="G28" s="452">
        <v>50.7</v>
      </c>
      <c r="H28" s="403"/>
      <c r="I28" s="403"/>
      <c r="J28" s="403"/>
      <c r="K28" s="403"/>
      <c r="L28" s="404"/>
      <c r="M28" s="404"/>
    </row>
    <row r="29" spans="2:13" x14ac:dyDescent="0.25">
      <c r="B29" s="406" t="s">
        <v>778</v>
      </c>
      <c r="C29" s="406">
        <v>3.5999999999999997E-2</v>
      </c>
      <c r="D29" s="406">
        <v>0.03</v>
      </c>
      <c r="E29" s="406">
        <v>2.5000000000000001E-2</v>
      </c>
      <c r="F29" s="406">
        <v>0.02</v>
      </c>
      <c r="G29" s="406">
        <v>1.4999999999999999E-2</v>
      </c>
      <c r="H29" s="407">
        <v>0.5</v>
      </c>
      <c r="I29" s="407">
        <v>1.5</v>
      </c>
      <c r="J29" s="407">
        <v>0.5</v>
      </c>
      <c r="K29" s="407">
        <v>1.5</v>
      </c>
      <c r="L29" s="418" t="s">
        <v>42</v>
      </c>
      <c r="M29" s="418">
        <v>1</v>
      </c>
    </row>
    <row r="30" spans="2:13" x14ac:dyDescent="0.25">
      <c r="B30" s="406" t="s">
        <v>434</v>
      </c>
      <c r="C30" s="406">
        <v>75</v>
      </c>
      <c r="D30" s="406">
        <v>75</v>
      </c>
      <c r="E30" s="406">
        <v>75</v>
      </c>
      <c r="F30" s="406">
        <v>75</v>
      </c>
      <c r="G30" s="406">
        <v>75</v>
      </c>
      <c r="H30" s="407"/>
      <c r="I30" s="407"/>
      <c r="J30" s="407"/>
      <c r="K30" s="407"/>
      <c r="L30" s="418"/>
      <c r="M30" s="418"/>
    </row>
    <row r="31" spans="2:13" x14ac:dyDescent="0.25">
      <c r="B31" s="406" t="s">
        <v>435</v>
      </c>
      <c r="C31" s="413">
        <v>25</v>
      </c>
      <c r="D31" s="406">
        <v>25</v>
      </c>
      <c r="E31" s="406">
        <v>25</v>
      </c>
      <c r="F31" s="406">
        <v>25</v>
      </c>
      <c r="G31" s="406">
        <v>25</v>
      </c>
      <c r="H31" s="407"/>
      <c r="I31" s="407"/>
      <c r="J31" s="407"/>
      <c r="K31" s="407"/>
      <c r="L31" s="418"/>
      <c r="M31" s="418"/>
    </row>
    <row r="32" spans="2:13" x14ac:dyDescent="0.25">
      <c r="B32" s="406" t="s">
        <v>661</v>
      </c>
      <c r="C32" s="411">
        <v>0.14399999999999999</v>
      </c>
      <c r="D32" s="412">
        <v>0.12</v>
      </c>
      <c r="E32" s="412">
        <v>0.1</v>
      </c>
      <c r="F32" s="412">
        <v>0.08</v>
      </c>
      <c r="G32" s="412">
        <v>0.06</v>
      </c>
      <c r="H32" s="407">
        <v>0.9</v>
      </c>
      <c r="I32" s="407">
        <v>1.1000000000000001</v>
      </c>
      <c r="J32" s="407">
        <v>0.9</v>
      </c>
      <c r="K32" s="407">
        <v>1.1000000000000001</v>
      </c>
      <c r="L32" s="418"/>
      <c r="M32" s="418">
        <v>1</v>
      </c>
    </row>
    <row r="33" spans="2:13" x14ac:dyDescent="0.25">
      <c r="B33" s="406" t="s">
        <v>662</v>
      </c>
      <c r="C33" s="412">
        <v>0.14399999999999999</v>
      </c>
      <c r="D33" s="412">
        <v>0.12</v>
      </c>
      <c r="E33" s="412">
        <v>0.1</v>
      </c>
      <c r="F33" s="412">
        <v>0.08</v>
      </c>
      <c r="G33" s="412">
        <v>0.06</v>
      </c>
      <c r="H33" s="407">
        <v>0.9</v>
      </c>
      <c r="I33" s="407">
        <v>1.1000000000000001</v>
      </c>
      <c r="J33" s="407">
        <v>0.9</v>
      </c>
      <c r="K33" s="407">
        <v>1.1000000000000001</v>
      </c>
      <c r="L33" s="418"/>
      <c r="M33" s="418">
        <v>1</v>
      </c>
    </row>
    <row r="34" spans="2:13" x14ac:dyDescent="0.25">
      <c r="B34" s="406" t="s">
        <v>663</v>
      </c>
      <c r="C34" s="406">
        <v>0</v>
      </c>
      <c r="D34" s="406">
        <v>0</v>
      </c>
      <c r="E34" s="406">
        <v>0</v>
      </c>
      <c r="F34" s="406">
        <v>0</v>
      </c>
      <c r="G34" s="406">
        <v>0</v>
      </c>
      <c r="H34" s="409"/>
      <c r="I34" s="409"/>
      <c r="J34" s="409"/>
      <c r="K34" s="409"/>
      <c r="L34" s="418"/>
      <c r="M34" s="418"/>
    </row>
    <row r="36" spans="2:13" x14ac:dyDescent="0.25">
      <c r="B36" s="350" t="s">
        <v>6</v>
      </c>
    </row>
    <row r="37" spans="2:13" x14ac:dyDescent="0.25">
      <c r="B37" s="349" t="s">
        <v>665</v>
      </c>
    </row>
    <row r="38" spans="2:13" x14ac:dyDescent="0.25">
      <c r="B38" s="349" t="s">
        <v>666</v>
      </c>
    </row>
    <row r="39" spans="2:13" x14ac:dyDescent="0.25">
      <c r="B39" s="349" t="s">
        <v>667</v>
      </c>
    </row>
    <row r="40" spans="2:13" x14ac:dyDescent="0.25">
      <c r="B40" s="349" t="s">
        <v>668</v>
      </c>
    </row>
    <row r="41" spans="2:13" x14ac:dyDescent="0.25">
      <c r="B41" s="349" t="s">
        <v>669</v>
      </c>
    </row>
    <row r="42" spans="2:13" x14ac:dyDescent="0.25">
      <c r="B42" s="349" t="s">
        <v>670</v>
      </c>
    </row>
    <row r="43" spans="2:13" x14ac:dyDescent="0.25">
      <c r="B43" s="349" t="s">
        <v>671</v>
      </c>
    </row>
    <row r="44" spans="2:13" x14ac:dyDescent="0.25">
      <c r="B44" s="349" t="s">
        <v>672</v>
      </c>
    </row>
    <row r="45" spans="2:13" x14ac:dyDescent="0.25">
      <c r="B45" s="349" t="s">
        <v>673</v>
      </c>
    </row>
    <row r="47" spans="2:13" x14ac:dyDescent="0.25">
      <c r="B47" s="350" t="s">
        <v>408</v>
      </c>
    </row>
    <row r="48" spans="2:13" x14ac:dyDescent="0.25">
      <c r="B48" s="349" t="s">
        <v>674</v>
      </c>
    </row>
    <row r="49" spans="2:2" x14ac:dyDescent="0.25">
      <c r="B49" s="349" t="s">
        <v>675</v>
      </c>
    </row>
    <row r="50" spans="2:2" x14ac:dyDescent="0.25">
      <c r="B50" s="349" t="s">
        <v>676</v>
      </c>
    </row>
    <row r="51" spans="2:2" x14ac:dyDescent="0.25">
      <c r="B51" s="349" t="s">
        <v>677</v>
      </c>
    </row>
    <row r="52" spans="2:2" x14ac:dyDescent="0.25">
      <c r="B52" s="349" t="s">
        <v>678</v>
      </c>
    </row>
    <row r="53" spans="2:2" x14ac:dyDescent="0.25">
      <c r="B53" s="349" t="s">
        <v>679</v>
      </c>
    </row>
    <row r="54" spans="2:2" x14ac:dyDescent="0.25">
      <c r="B54" s="349" t="s">
        <v>704</v>
      </c>
    </row>
    <row r="55" spans="2:2" x14ac:dyDescent="0.25">
      <c r="B55" s="349" t="s">
        <v>705</v>
      </c>
    </row>
  </sheetData>
  <mergeCells count="3">
    <mergeCell ref="C2:M2"/>
    <mergeCell ref="H3:I3"/>
    <mergeCell ref="J3:K3"/>
  </mergeCells>
  <hyperlinks>
    <hyperlink ref="B48" r:id="rId1" display="https://doi.org/10.1016/j.renene.2015.07.066"/>
    <hyperlink ref="B49" r:id="rId2" display="https://www.aramis.admin.ch/Default.aspx?DocumentID=45656&amp;Load=true"/>
    <hyperlink ref="B50" r:id="rId3" display="https://www.di-verlag.de/media/content/gwf-GE/gwf_Gas_5_14/gwf-GE_05_2014_FB_Kurt.pdf?xaf26a=7841c984ef837209544e"/>
    <hyperlink ref="B51" r:id="rId4" display="https://doi.org/10.1002/wene.97"/>
    <hyperlink ref="B52" r:id="rId5" display="https://www.tuwien.ac.at/fileadmin/t/tuwien/fotos/pa/download/2015/HM2015/Flyer_Power_to_Bio--Gas_EN.pdf"/>
    <hyperlink ref="B53" r:id="rId6" display="http://www.hz-inova.com/cms/en/home?p=6276"/>
    <hyperlink ref="H1" location="Index" display="Back to Index"/>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M58"/>
  <sheetViews>
    <sheetView workbookViewId="0">
      <selection activeCell="C37" sqref="C37"/>
    </sheetView>
  </sheetViews>
  <sheetFormatPr defaultRowHeight="15" x14ac:dyDescent="0.25"/>
  <cols>
    <col min="2" max="2" width="25.42578125" customWidth="1"/>
    <col min="3" max="12" width="7.140625" customWidth="1"/>
  </cols>
  <sheetData>
    <row r="1" spans="2:13" x14ac:dyDescent="0.25">
      <c r="H1" s="355" t="s">
        <v>709</v>
      </c>
    </row>
    <row r="2" spans="2:13" x14ac:dyDescent="0.25">
      <c r="B2" s="393" t="s">
        <v>20</v>
      </c>
      <c r="C2" s="658" t="s">
        <v>680</v>
      </c>
      <c r="D2" s="658"/>
      <c r="E2" s="658"/>
      <c r="F2" s="658"/>
      <c r="G2" s="658"/>
      <c r="H2" s="658"/>
      <c r="I2" s="658"/>
      <c r="J2" s="658"/>
      <c r="K2" s="658"/>
      <c r="L2" s="658"/>
      <c r="M2" s="658"/>
    </row>
    <row r="3" spans="2:13" ht="15" customHeight="1" x14ac:dyDescent="0.25">
      <c r="B3" s="406"/>
      <c r="C3" s="406">
        <v>2015</v>
      </c>
      <c r="D3" s="406">
        <v>2020</v>
      </c>
      <c r="E3" s="406">
        <v>2030</v>
      </c>
      <c r="F3" s="406">
        <v>2040</v>
      </c>
      <c r="G3" s="406">
        <v>2050</v>
      </c>
      <c r="H3" s="659" t="s">
        <v>26</v>
      </c>
      <c r="I3" s="659"/>
      <c r="J3" s="659" t="s">
        <v>25</v>
      </c>
      <c r="K3" s="659"/>
      <c r="L3" s="418" t="s">
        <v>19</v>
      </c>
      <c r="M3" s="418" t="s">
        <v>18</v>
      </c>
    </row>
    <row r="4" spans="2:13" x14ac:dyDescent="0.25">
      <c r="B4" s="406"/>
      <c r="C4" s="406"/>
      <c r="D4" s="406"/>
      <c r="E4" s="406"/>
      <c r="F4" s="406"/>
      <c r="G4" s="406"/>
      <c r="H4" s="418" t="s">
        <v>17</v>
      </c>
      <c r="I4" s="418" t="s">
        <v>16</v>
      </c>
      <c r="J4" s="418" t="s">
        <v>17</v>
      </c>
      <c r="K4" s="418" t="s">
        <v>16</v>
      </c>
      <c r="L4" s="418"/>
      <c r="M4" s="418"/>
    </row>
    <row r="5" spans="2:13" x14ac:dyDescent="0.25">
      <c r="B5" s="393" t="s">
        <v>15</v>
      </c>
      <c r="C5" s="406"/>
      <c r="D5" s="406"/>
      <c r="E5" s="406"/>
      <c r="F5" s="406"/>
      <c r="G5" s="406"/>
      <c r="H5" s="406"/>
      <c r="I5" s="406"/>
      <c r="J5" s="406"/>
      <c r="K5" s="406"/>
      <c r="L5" s="418"/>
      <c r="M5" s="418"/>
    </row>
    <row r="6" spans="2:13" x14ac:dyDescent="0.25">
      <c r="B6" s="406" t="s">
        <v>514</v>
      </c>
      <c r="C6" s="485" t="s">
        <v>518</v>
      </c>
      <c r="D6" s="485">
        <v>120</v>
      </c>
      <c r="E6" s="485">
        <v>180</v>
      </c>
      <c r="F6" s="485">
        <v>250</v>
      </c>
      <c r="G6" s="485">
        <v>300</v>
      </c>
      <c r="H6" s="476">
        <v>0.5</v>
      </c>
      <c r="I6" s="476">
        <v>1.25</v>
      </c>
      <c r="J6" s="476">
        <v>0.75</v>
      </c>
      <c r="K6" s="476">
        <v>1.25</v>
      </c>
      <c r="L6" s="418" t="s">
        <v>420</v>
      </c>
      <c r="M6" s="418" t="s">
        <v>515</v>
      </c>
    </row>
    <row r="7" spans="2:13" x14ac:dyDescent="0.25">
      <c r="B7" s="406" t="s">
        <v>516</v>
      </c>
      <c r="C7" s="485" t="s">
        <v>518</v>
      </c>
      <c r="D7" s="485">
        <v>145</v>
      </c>
      <c r="E7" s="485">
        <v>220</v>
      </c>
      <c r="F7" s="485">
        <v>300</v>
      </c>
      <c r="G7" s="485">
        <v>360</v>
      </c>
      <c r="H7" s="476">
        <v>0.5</v>
      </c>
      <c r="I7" s="476">
        <v>1.25</v>
      </c>
      <c r="J7" s="476">
        <v>0.75</v>
      </c>
      <c r="K7" s="476">
        <v>1.25</v>
      </c>
      <c r="L7" s="418" t="s">
        <v>422</v>
      </c>
      <c r="M7" s="418" t="s">
        <v>515</v>
      </c>
    </row>
    <row r="8" spans="2:13" x14ac:dyDescent="0.25">
      <c r="B8" s="393" t="s">
        <v>376</v>
      </c>
      <c r="C8" s="485"/>
      <c r="D8" s="485"/>
      <c r="E8" s="485"/>
      <c r="F8" s="485"/>
      <c r="G8" s="485"/>
      <c r="H8" s="476"/>
      <c r="I8" s="413"/>
      <c r="J8" s="413"/>
      <c r="K8" s="413"/>
      <c r="L8" s="418"/>
      <c r="M8" s="418"/>
    </row>
    <row r="9" spans="2:13" x14ac:dyDescent="0.25">
      <c r="B9" s="406" t="s">
        <v>485</v>
      </c>
      <c r="C9" s="485" t="s">
        <v>518</v>
      </c>
      <c r="D9" s="485">
        <v>0.95</v>
      </c>
      <c r="E9" s="485">
        <v>0.95</v>
      </c>
      <c r="F9" s="485">
        <v>0.95</v>
      </c>
      <c r="G9" s="485">
        <v>0.95</v>
      </c>
      <c r="H9" s="476">
        <v>0.9</v>
      </c>
      <c r="I9" s="473">
        <v>1.5</v>
      </c>
      <c r="J9" s="473">
        <v>0.9</v>
      </c>
      <c r="K9" s="473">
        <v>1.25</v>
      </c>
      <c r="L9" s="418" t="s">
        <v>1</v>
      </c>
      <c r="M9" s="418">
        <v>4</v>
      </c>
    </row>
    <row r="10" spans="2:13" x14ac:dyDescent="0.25">
      <c r="B10" s="406" t="s">
        <v>381</v>
      </c>
      <c r="C10" s="485" t="s">
        <v>518</v>
      </c>
      <c r="D10" s="485">
        <v>0.05</v>
      </c>
      <c r="E10" s="485">
        <v>0.05</v>
      </c>
      <c r="F10" s="485">
        <v>0.05</v>
      </c>
      <c r="G10" s="485">
        <v>0.05</v>
      </c>
      <c r="H10" s="476">
        <v>0.75</v>
      </c>
      <c r="I10" s="473">
        <v>1.25</v>
      </c>
      <c r="J10" s="473">
        <v>0.75</v>
      </c>
      <c r="K10" s="473">
        <v>1.25</v>
      </c>
      <c r="L10" s="418" t="s">
        <v>1</v>
      </c>
      <c r="M10" s="418">
        <v>4</v>
      </c>
    </row>
    <row r="11" spans="2:13" x14ac:dyDescent="0.25">
      <c r="B11" s="393" t="s">
        <v>253</v>
      </c>
      <c r="C11" s="485"/>
      <c r="D11" s="485"/>
      <c r="E11" s="485"/>
      <c r="F11" s="485"/>
      <c r="G11" s="485"/>
      <c r="H11" s="476"/>
      <c r="I11" s="473"/>
      <c r="J11" s="473"/>
      <c r="K11" s="473"/>
      <c r="L11" s="418"/>
      <c r="M11" s="418"/>
    </row>
    <row r="12" spans="2:13" x14ac:dyDescent="0.25">
      <c r="B12" s="406" t="s">
        <v>517</v>
      </c>
      <c r="C12" s="485" t="s">
        <v>518</v>
      </c>
      <c r="D12" s="485">
        <v>0.82</v>
      </c>
      <c r="E12" s="485">
        <v>0.82</v>
      </c>
      <c r="F12" s="485">
        <v>0.82</v>
      </c>
      <c r="G12" s="485">
        <v>0.82</v>
      </c>
      <c r="H12" s="476">
        <v>0.9</v>
      </c>
      <c r="I12" s="473">
        <v>1.1000000000000001</v>
      </c>
      <c r="J12" s="473">
        <v>0.9</v>
      </c>
      <c r="K12" s="473">
        <v>1.1000000000000001</v>
      </c>
      <c r="L12" s="418" t="s">
        <v>1</v>
      </c>
      <c r="M12" s="418">
        <v>4</v>
      </c>
    </row>
    <row r="13" spans="2:13" x14ac:dyDescent="0.25">
      <c r="B13" s="406" t="s">
        <v>681</v>
      </c>
      <c r="C13" s="485" t="s">
        <v>518</v>
      </c>
      <c r="D13" s="485">
        <v>0</v>
      </c>
      <c r="E13" s="485">
        <v>0</v>
      </c>
      <c r="F13" s="485">
        <v>0</v>
      </c>
      <c r="G13" s="485">
        <v>0</v>
      </c>
      <c r="H13" s="476">
        <v>0.9</v>
      </c>
      <c r="I13" s="476">
        <v>1.1000000000000001</v>
      </c>
      <c r="J13" s="476">
        <v>0.9</v>
      </c>
      <c r="K13" s="476">
        <v>1.1000000000000001</v>
      </c>
      <c r="L13" s="418" t="s">
        <v>1</v>
      </c>
      <c r="M13" s="418">
        <v>4</v>
      </c>
    </row>
    <row r="14" spans="2:13" x14ac:dyDescent="0.25">
      <c r="B14" s="406"/>
      <c r="C14" s="485"/>
      <c r="D14" s="485"/>
      <c r="E14" s="485"/>
      <c r="F14" s="485"/>
      <c r="G14" s="485"/>
      <c r="H14" s="476"/>
      <c r="I14" s="476"/>
      <c r="J14" s="476"/>
      <c r="K14" s="476"/>
      <c r="L14" s="418"/>
      <c r="M14" s="418"/>
    </row>
    <row r="15" spans="2:13" x14ac:dyDescent="0.25">
      <c r="B15" s="406" t="s">
        <v>100</v>
      </c>
      <c r="C15" s="485" t="s">
        <v>518</v>
      </c>
      <c r="D15" s="485">
        <v>4</v>
      </c>
      <c r="E15" s="485">
        <v>0</v>
      </c>
      <c r="F15" s="485">
        <v>0</v>
      </c>
      <c r="G15" s="485">
        <v>0</v>
      </c>
      <c r="H15" s="476"/>
      <c r="I15" s="476"/>
      <c r="J15" s="476"/>
      <c r="K15" s="476"/>
      <c r="L15" s="418"/>
      <c r="M15" s="418"/>
    </row>
    <row r="16" spans="2:13" x14ac:dyDescent="0.25">
      <c r="B16" s="406" t="s">
        <v>24</v>
      </c>
      <c r="C16" s="485">
        <v>4</v>
      </c>
      <c r="D16" s="485">
        <v>4</v>
      </c>
      <c r="E16" s="485">
        <v>4</v>
      </c>
      <c r="F16" s="485">
        <v>4</v>
      </c>
      <c r="G16" s="485">
        <v>4</v>
      </c>
      <c r="H16" s="407"/>
      <c r="I16" s="407"/>
      <c r="J16" s="407"/>
      <c r="K16" s="407"/>
      <c r="L16" s="418" t="s">
        <v>3</v>
      </c>
      <c r="M16" s="418">
        <v>8</v>
      </c>
    </row>
    <row r="17" spans="2:13" x14ac:dyDescent="0.25">
      <c r="B17" s="406" t="s">
        <v>14</v>
      </c>
      <c r="C17" s="485" t="s">
        <v>779</v>
      </c>
      <c r="D17" s="485" t="s">
        <v>779</v>
      </c>
      <c r="E17" s="485" t="s">
        <v>779</v>
      </c>
      <c r="F17" s="485" t="s">
        <v>779</v>
      </c>
      <c r="G17" s="485" t="s">
        <v>779</v>
      </c>
      <c r="H17" s="407"/>
      <c r="I17" s="407"/>
      <c r="J17" s="407"/>
      <c r="K17" s="407"/>
      <c r="L17" s="418"/>
      <c r="M17" s="418"/>
    </row>
    <row r="18" spans="2:13" x14ac:dyDescent="0.25">
      <c r="B18" s="406" t="s">
        <v>12</v>
      </c>
      <c r="C18" s="485">
        <v>2</v>
      </c>
      <c r="D18" s="485">
        <v>2</v>
      </c>
      <c r="E18" s="485">
        <v>2</v>
      </c>
      <c r="F18" s="485">
        <v>2</v>
      </c>
      <c r="G18" s="485">
        <v>2</v>
      </c>
      <c r="H18" s="407"/>
      <c r="I18" s="407"/>
      <c r="J18" s="407"/>
      <c r="K18" s="407"/>
      <c r="L18" s="418"/>
      <c r="M18" s="418"/>
    </row>
    <row r="19" spans="2:13" x14ac:dyDescent="0.25">
      <c r="B19" s="393" t="s">
        <v>9</v>
      </c>
      <c r="C19" s="485"/>
      <c r="D19" s="485"/>
      <c r="E19" s="485"/>
      <c r="F19" s="485"/>
      <c r="G19" s="485"/>
      <c r="H19" s="407"/>
      <c r="I19" s="407"/>
      <c r="J19" s="407"/>
      <c r="K19" s="407"/>
      <c r="L19" s="418"/>
      <c r="M19" s="418"/>
    </row>
    <row r="20" spans="2:13" x14ac:dyDescent="0.25">
      <c r="B20" s="406" t="s">
        <v>780</v>
      </c>
      <c r="C20" s="485" t="s">
        <v>518</v>
      </c>
      <c r="D20" s="486">
        <v>2.1972752043596731</v>
      </c>
      <c r="E20" s="486">
        <v>1.6479564032697545</v>
      </c>
      <c r="F20" s="486">
        <v>1.2359673024523161</v>
      </c>
      <c r="G20" s="486">
        <v>1.0986376021798363</v>
      </c>
      <c r="H20" s="407">
        <v>0.75</v>
      </c>
      <c r="I20" s="407">
        <v>1.25</v>
      </c>
      <c r="J20" s="407">
        <v>0.75</v>
      </c>
      <c r="K20" s="407">
        <v>1.25</v>
      </c>
      <c r="L20" s="418" t="s">
        <v>520</v>
      </c>
      <c r="M20" s="418" t="s">
        <v>521</v>
      </c>
    </row>
    <row r="21" spans="2:13" x14ac:dyDescent="0.25">
      <c r="B21" s="406" t="s">
        <v>434</v>
      </c>
      <c r="C21" s="485" t="s">
        <v>518</v>
      </c>
      <c r="D21" s="485">
        <v>75</v>
      </c>
      <c r="E21" s="485">
        <v>75</v>
      </c>
      <c r="F21" s="485">
        <v>75</v>
      </c>
      <c r="G21" s="485">
        <v>75</v>
      </c>
      <c r="H21" s="407"/>
      <c r="I21" s="407"/>
      <c r="J21" s="407"/>
      <c r="K21" s="407"/>
      <c r="L21" s="418"/>
      <c r="M21" s="418"/>
    </row>
    <row r="22" spans="2:13" x14ac:dyDescent="0.25">
      <c r="B22" s="406" t="s">
        <v>435</v>
      </c>
      <c r="C22" s="485" t="s">
        <v>518</v>
      </c>
      <c r="D22" s="485">
        <v>25</v>
      </c>
      <c r="E22" s="485">
        <v>25</v>
      </c>
      <c r="F22" s="485">
        <v>25</v>
      </c>
      <c r="G22" s="485">
        <v>25</v>
      </c>
      <c r="H22" s="407"/>
      <c r="I22" s="407"/>
      <c r="J22" s="407"/>
      <c r="K22" s="407"/>
      <c r="L22" s="418"/>
      <c r="M22" s="418"/>
    </row>
    <row r="23" spans="2:13" x14ac:dyDescent="0.25">
      <c r="B23" s="406" t="s">
        <v>781</v>
      </c>
      <c r="C23" s="485" t="s">
        <v>518</v>
      </c>
      <c r="D23" s="487">
        <v>6.2779291553133512E-2</v>
      </c>
      <c r="E23" s="487">
        <v>6.2779291553133498E-2</v>
      </c>
      <c r="F23" s="487">
        <v>6.2779291553133498E-2</v>
      </c>
      <c r="G23" s="487">
        <v>6.2779291553133498E-2</v>
      </c>
      <c r="H23" s="407">
        <v>0.75</v>
      </c>
      <c r="I23" s="407">
        <v>1.25</v>
      </c>
      <c r="J23" s="407">
        <v>0.75</v>
      </c>
      <c r="K23" s="407">
        <v>1.25</v>
      </c>
      <c r="L23" s="418" t="s">
        <v>523</v>
      </c>
      <c r="M23" s="418">
        <v>6</v>
      </c>
    </row>
    <row r="24" spans="2:13" x14ac:dyDescent="0.25">
      <c r="B24" s="406" t="s">
        <v>731</v>
      </c>
      <c r="C24" s="485" t="s">
        <v>518</v>
      </c>
      <c r="D24" s="487">
        <v>14.013234721681588</v>
      </c>
      <c r="E24" s="487">
        <v>14.013234721681586</v>
      </c>
      <c r="F24" s="487">
        <v>14.013234721681586</v>
      </c>
      <c r="G24" s="487">
        <v>14.013234721681588</v>
      </c>
      <c r="H24" s="407">
        <v>0.75</v>
      </c>
      <c r="I24" s="407">
        <v>1.25</v>
      </c>
      <c r="J24" s="407">
        <v>0.75</v>
      </c>
      <c r="K24" s="407">
        <v>1.25</v>
      </c>
      <c r="L24" s="418" t="s">
        <v>523</v>
      </c>
      <c r="M24" s="418">
        <v>6</v>
      </c>
    </row>
    <row r="25" spans="2:13" x14ac:dyDescent="0.25">
      <c r="B25" s="406" t="s">
        <v>782</v>
      </c>
      <c r="C25" s="485" t="s">
        <v>518</v>
      </c>
      <c r="D25" s="485">
        <v>0</v>
      </c>
      <c r="E25" s="485">
        <v>0</v>
      </c>
      <c r="F25" s="485">
        <v>0</v>
      </c>
      <c r="G25" s="485">
        <v>0</v>
      </c>
      <c r="H25" s="407"/>
      <c r="I25" s="409"/>
      <c r="J25" s="409"/>
      <c r="K25" s="409"/>
      <c r="L25" s="418"/>
      <c r="M25" s="418"/>
    </row>
    <row r="26" spans="2:13" x14ac:dyDescent="0.25">
      <c r="B26" s="393" t="s">
        <v>268</v>
      </c>
      <c r="C26" s="485"/>
      <c r="D26" s="485"/>
      <c r="E26" s="485"/>
      <c r="F26" s="485"/>
      <c r="G26" s="485"/>
      <c r="H26" s="407"/>
      <c r="I26" s="409"/>
      <c r="J26" s="409"/>
      <c r="K26" s="409"/>
      <c r="L26" s="418"/>
      <c r="M26" s="418"/>
    </row>
    <row r="27" spans="2:13" x14ac:dyDescent="0.25">
      <c r="B27" s="406" t="s">
        <v>684</v>
      </c>
      <c r="C27" s="485">
        <v>36.700000000000003</v>
      </c>
      <c r="D27" s="485">
        <v>36.700000000000003</v>
      </c>
      <c r="E27" s="485">
        <v>36.700000000000003</v>
      </c>
      <c r="F27" s="485">
        <v>36.700000000000003</v>
      </c>
      <c r="G27" s="485">
        <v>36.700000000000003</v>
      </c>
      <c r="H27" s="407"/>
      <c r="I27" s="409"/>
      <c r="J27" s="409"/>
      <c r="K27" s="409"/>
      <c r="L27" s="418"/>
      <c r="M27" s="418"/>
    </row>
    <row r="28" spans="2:13" x14ac:dyDescent="0.25">
      <c r="B28" s="406" t="s">
        <v>733</v>
      </c>
      <c r="C28" s="485">
        <v>1.05</v>
      </c>
      <c r="D28" s="485">
        <v>1.05</v>
      </c>
      <c r="E28" s="485">
        <v>1.05</v>
      </c>
      <c r="F28" s="485">
        <v>1.05</v>
      </c>
      <c r="G28" s="485">
        <v>1.05</v>
      </c>
      <c r="H28" s="407"/>
      <c r="I28" s="406"/>
      <c r="J28" s="406"/>
      <c r="K28" s="406"/>
      <c r="L28" s="418"/>
      <c r="M28" s="418"/>
    </row>
    <row r="29" spans="2:13" x14ac:dyDescent="0.25">
      <c r="B29" s="406" t="s">
        <v>783</v>
      </c>
      <c r="C29" s="485" t="s">
        <v>518</v>
      </c>
      <c r="D29" s="486">
        <v>2.6666666666666665</v>
      </c>
      <c r="E29" s="486">
        <v>2</v>
      </c>
      <c r="F29" s="486">
        <v>1.5</v>
      </c>
      <c r="G29" s="486">
        <v>1.3333333333333333</v>
      </c>
      <c r="H29" s="407">
        <v>0.75</v>
      </c>
      <c r="I29" s="407">
        <v>1.25</v>
      </c>
      <c r="J29" s="407">
        <v>0.75</v>
      </c>
      <c r="K29" s="407">
        <v>1.25</v>
      </c>
      <c r="L29" s="418" t="s">
        <v>520</v>
      </c>
      <c r="M29" s="418" t="s">
        <v>521</v>
      </c>
    </row>
    <row r="30" spans="2:13" x14ac:dyDescent="0.25">
      <c r="B30" s="406" t="s">
        <v>434</v>
      </c>
      <c r="C30" s="485" t="s">
        <v>518</v>
      </c>
      <c r="D30" s="485">
        <v>75</v>
      </c>
      <c r="E30" s="485">
        <v>75</v>
      </c>
      <c r="F30" s="485">
        <v>75</v>
      </c>
      <c r="G30" s="485">
        <v>75</v>
      </c>
      <c r="H30" s="407"/>
      <c r="I30" s="407"/>
      <c r="J30" s="407"/>
      <c r="K30" s="407"/>
      <c r="L30" s="418"/>
      <c r="M30" s="418"/>
    </row>
    <row r="31" spans="2:13" x14ac:dyDescent="0.25">
      <c r="B31" s="406" t="s">
        <v>435</v>
      </c>
      <c r="C31" s="485" t="s">
        <v>518</v>
      </c>
      <c r="D31" s="485">
        <v>25</v>
      </c>
      <c r="E31" s="485">
        <v>25</v>
      </c>
      <c r="F31" s="485">
        <v>25</v>
      </c>
      <c r="G31" s="485">
        <v>25</v>
      </c>
      <c r="H31" s="407"/>
      <c r="I31" s="407"/>
      <c r="J31" s="407"/>
      <c r="K31" s="407"/>
      <c r="L31" s="418"/>
      <c r="M31" s="418"/>
    </row>
    <row r="32" spans="2:13" x14ac:dyDescent="0.25">
      <c r="B32" s="406" t="s">
        <v>522</v>
      </c>
      <c r="C32" s="485" t="s">
        <v>518</v>
      </c>
      <c r="D32" s="487">
        <v>7.6190476190476183E-2</v>
      </c>
      <c r="E32" s="487">
        <v>7.6190476190476183E-2</v>
      </c>
      <c r="F32" s="487">
        <v>7.6190476190476183E-2</v>
      </c>
      <c r="G32" s="487">
        <v>7.6190476190476183E-2</v>
      </c>
      <c r="H32" s="407">
        <v>0.75</v>
      </c>
      <c r="I32" s="407">
        <v>1.25</v>
      </c>
      <c r="J32" s="407">
        <v>0.75</v>
      </c>
      <c r="K32" s="407">
        <v>1.25</v>
      </c>
      <c r="L32" s="418" t="s">
        <v>523</v>
      </c>
      <c r="M32" s="418">
        <v>6</v>
      </c>
    </row>
    <row r="33" spans="2:13" x14ac:dyDescent="0.25">
      <c r="B33" s="406" t="s">
        <v>524</v>
      </c>
      <c r="C33" s="485" t="s">
        <v>518</v>
      </c>
      <c r="D33" s="487">
        <v>0.14285714285714285</v>
      </c>
      <c r="E33" s="487">
        <v>0.14285714285714285</v>
      </c>
      <c r="F33" s="487">
        <v>0.14285714285714285</v>
      </c>
      <c r="G33" s="487">
        <v>0.14285714285714285</v>
      </c>
      <c r="H33" s="407">
        <v>0.75</v>
      </c>
      <c r="I33" s="407">
        <v>1.25</v>
      </c>
      <c r="J33" s="407">
        <v>0.75</v>
      </c>
      <c r="K33" s="407">
        <v>1.25</v>
      </c>
      <c r="L33" s="418" t="s">
        <v>523</v>
      </c>
      <c r="M33" s="418">
        <v>6</v>
      </c>
    </row>
    <row r="34" spans="2:13" x14ac:dyDescent="0.25">
      <c r="B34" s="406" t="s">
        <v>784</v>
      </c>
      <c r="C34" s="485" t="s">
        <v>518</v>
      </c>
      <c r="D34" s="485">
        <v>0</v>
      </c>
      <c r="E34" s="485">
        <v>0</v>
      </c>
      <c r="F34" s="485"/>
      <c r="G34" s="485">
        <v>0</v>
      </c>
      <c r="H34" s="409"/>
      <c r="I34" s="409"/>
      <c r="J34" s="409"/>
      <c r="K34" s="409"/>
      <c r="L34" s="418"/>
      <c r="M34" s="418"/>
    </row>
    <row r="36" spans="2:13" x14ac:dyDescent="0.25">
      <c r="B36" s="350" t="s">
        <v>6</v>
      </c>
    </row>
    <row r="37" spans="2:13" x14ac:dyDescent="0.25">
      <c r="B37" s="349" t="s">
        <v>527</v>
      </c>
    </row>
    <row r="38" spans="2:13" x14ac:dyDescent="0.25">
      <c r="B38" s="349" t="s">
        <v>615</v>
      </c>
    </row>
    <row r="39" spans="2:13" x14ac:dyDescent="0.25">
      <c r="B39" s="349" t="s">
        <v>685</v>
      </c>
    </row>
    <row r="40" spans="2:13" x14ac:dyDescent="0.25">
      <c r="B40" s="349" t="s">
        <v>529</v>
      </c>
    </row>
    <row r="41" spans="2:13" x14ac:dyDescent="0.25">
      <c r="B41" s="349" t="s">
        <v>530</v>
      </c>
    </row>
    <row r="42" spans="2:13" x14ac:dyDescent="0.25">
      <c r="B42" s="349" t="s">
        <v>686</v>
      </c>
    </row>
    <row r="43" spans="2:13" x14ac:dyDescent="0.25">
      <c r="B43" s="349" t="s">
        <v>687</v>
      </c>
    </row>
    <row r="44" spans="2:13" x14ac:dyDescent="0.25">
      <c r="B44" s="349" t="s">
        <v>533</v>
      </c>
    </row>
    <row r="46" spans="2:13" x14ac:dyDescent="0.25">
      <c r="B46" s="350" t="s">
        <v>408</v>
      </c>
    </row>
    <row r="47" spans="2:13" x14ac:dyDescent="0.25">
      <c r="B47" s="349" t="s">
        <v>688</v>
      </c>
    </row>
    <row r="48" spans="2:13" x14ac:dyDescent="0.25">
      <c r="B48" s="349" t="s">
        <v>689</v>
      </c>
    </row>
    <row r="49" spans="2:2" x14ac:dyDescent="0.25">
      <c r="B49" s="349" t="s">
        <v>690</v>
      </c>
    </row>
    <row r="50" spans="2:2" x14ac:dyDescent="0.25">
      <c r="B50" s="349" t="s">
        <v>691</v>
      </c>
    </row>
    <row r="51" spans="2:2" x14ac:dyDescent="0.25">
      <c r="B51" s="349" t="s">
        <v>692</v>
      </c>
    </row>
    <row r="52" spans="2:2" x14ac:dyDescent="0.25">
      <c r="B52" s="349" t="s">
        <v>693</v>
      </c>
    </row>
    <row r="53" spans="2:2" x14ac:dyDescent="0.25">
      <c r="B53" s="349" t="s">
        <v>694</v>
      </c>
    </row>
    <row r="54" spans="2:2" x14ac:dyDescent="0.25">
      <c r="B54" s="349" t="s">
        <v>695</v>
      </c>
    </row>
    <row r="55" spans="2:2" x14ac:dyDescent="0.25">
      <c r="B55" s="349" t="s">
        <v>696</v>
      </c>
    </row>
    <row r="56" spans="2:2" x14ac:dyDescent="0.25">
      <c r="B56" s="349" t="s">
        <v>697</v>
      </c>
    </row>
    <row r="57" spans="2:2" x14ac:dyDescent="0.25">
      <c r="B57" s="349" t="s">
        <v>698</v>
      </c>
    </row>
    <row r="58" spans="2:2" x14ac:dyDescent="0.25">
      <c r="B58" s="349" t="s">
        <v>699</v>
      </c>
    </row>
  </sheetData>
  <mergeCells count="3">
    <mergeCell ref="C2:M2"/>
    <mergeCell ref="H3:I3"/>
    <mergeCell ref="J3:K3"/>
  </mergeCells>
  <hyperlinks>
    <hyperlink ref="B47" r:id="rId1" display="http://steeperenergy.com/2017/12/15/steeper-energy-announces-eur-50-6-m-dkk-377-m-advanced-biofuel-project-with-norwegian-swedish-joint-venture-silva-green-fuel-in-licensing-deal/"/>
    <hyperlink ref="B48" r:id="rId2" display="https://doi.org/10.1007/s13399-017-0248-8"/>
    <hyperlink ref="B49" r:id="rId3" display="http://www.etc-cte.ec.gc.ca/databases/oilproperties/pdf/web_bunker_c_fuel_oil.pdf"/>
    <hyperlink ref="B50" r:id="rId4" display="http://www.biofuelsdigest.com/bdigest/2017/02/02/fracking-biomass-steeper-energy-and-the-pursuit-of-renewable-hydrocarbons/"/>
    <hyperlink ref="B51" r:id="rId5" display="https://doi.org/10.1007/s13399-017-0248-8"/>
    <hyperlink ref="B52" r:id="rId6" display="https://www.bio.org/sites/default/files/0830AM-Perry Toms.pdf"/>
    <hyperlink ref="B53" r:id="rId7" display="https://doi.org/10.1016/j.apenergy.2014.03.053"/>
    <hyperlink ref="B54" r:id="rId8" display="http://www.licella.com.au/news/licella-canfor-joint-venture-at-the-forefront-of-global-bioenergy/"/>
    <hyperlink ref="B55" r:id="rId9" display="https://doi.org/10.1016/B978-0-08-101029-7.00009-6"/>
    <hyperlink ref="B56" r:id="rId10" display="http://www.ourenergypolicy.org/wp-content/uploads/2015/08/60462.pdf"/>
    <hyperlink ref="B57" r:id="rId11" display="https://doi.org/10.13044/j.sdewes.d5.0177"/>
    <hyperlink ref="B58" r:id="rId12" display="https://doi.org/10.1002/bbb.1831"/>
    <hyperlink ref="H1" location="Index" display="Back to Index"/>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44"/>
  <sheetViews>
    <sheetView topLeftCell="A28" workbookViewId="0">
      <selection activeCell="H16" sqref="H16"/>
    </sheetView>
  </sheetViews>
  <sheetFormatPr defaultRowHeight="15" x14ac:dyDescent="0.25"/>
  <cols>
    <col min="1" max="1" width="3.42578125" customWidth="1"/>
    <col min="2" max="2" width="31" customWidth="1"/>
    <col min="3" max="3" width="4.42578125" bestFit="1" customWidth="1"/>
    <col min="4" max="7" width="4.85546875" bestFit="1" customWidth="1"/>
    <col min="8" max="11" width="7.7109375" customWidth="1"/>
    <col min="12" max="12" width="5.85546875" bestFit="1" customWidth="1"/>
    <col min="13" max="13" width="4.28515625" bestFit="1" customWidth="1"/>
  </cols>
  <sheetData>
    <row r="1" spans="2:13" x14ac:dyDescent="0.25">
      <c r="H1" s="355" t="s">
        <v>709</v>
      </c>
    </row>
    <row r="2" spans="2:13" x14ac:dyDescent="0.25">
      <c r="B2" s="393" t="s">
        <v>20</v>
      </c>
      <c r="C2" s="658" t="s">
        <v>785</v>
      </c>
      <c r="D2" s="658"/>
      <c r="E2" s="658"/>
      <c r="F2" s="658"/>
      <c r="G2" s="658"/>
      <c r="H2" s="658"/>
      <c r="I2" s="658"/>
      <c r="J2" s="658"/>
      <c r="K2" s="658"/>
      <c r="L2" s="658"/>
      <c r="M2" s="658"/>
    </row>
    <row r="3" spans="2:13" x14ac:dyDescent="0.25">
      <c r="B3" s="406"/>
      <c r="C3" s="406">
        <v>2015</v>
      </c>
      <c r="D3" s="406">
        <v>2020</v>
      </c>
      <c r="E3" s="406">
        <v>2030</v>
      </c>
      <c r="F3" s="406">
        <v>2040</v>
      </c>
      <c r="G3" s="406">
        <v>2050</v>
      </c>
      <c r="H3" s="659" t="s">
        <v>26</v>
      </c>
      <c r="I3" s="659"/>
      <c r="J3" s="659" t="s">
        <v>25</v>
      </c>
      <c r="K3" s="659"/>
      <c r="L3" s="418" t="s">
        <v>19</v>
      </c>
      <c r="M3" s="418" t="s">
        <v>18</v>
      </c>
    </row>
    <row r="4" spans="2:13" x14ac:dyDescent="0.25">
      <c r="B4" s="419"/>
      <c r="C4" s="419"/>
      <c r="D4" s="419"/>
      <c r="E4" s="419"/>
      <c r="F4" s="419"/>
      <c r="G4" s="419"/>
      <c r="H4" s="420" t="s">
        <v>17</v>
      </c>
      <c r="I4" s="420" t="s">
        <v>16</v>
      </c>
      <c r="J4" s="420" t="s">
        <v>17</v>
      </c>
      <c r="K4" s="420" t="s">
        <v>16</v>
      </c>
      <c r="L4" s="420"/>
      <c r="M4" s="420"/>
    </row>
    <row r="5" spans="2:13" x14ac:dyDescent="0.25">
      <c r="B5" s="421" t="s">
        <v>15</v>
      </c>
      <c r="C5" s="398"/>
      <c r="D5" s="398"/>
      <c r="E5" s="398"/>
      <c r="F5" s="398"/>
      <c r="G5" s="398"/>
      <c r="H5" s="398"/>
      <c r="I5" s="398"/>
      <c r="J5" s="398"/>
      <c r="K5" s="398"/>
      <c r="L5" s="399"/>
      <c r="M5" s="400"/>
    </row>
    <row r="6" spans="2:13" x14ac:dyDescent="0.25">
      <c r="B6" s="402" t="s">
        <v>514</v>
      </c>
      <c r="C6" s="404" t="s">
        <v>518</v>
      </c>
      <c r="D6" s="404">
        <v>40</v>
      </c>
      <c r="E6" s="404">
        <v>80</v>
      </c>
      <c r="F6" s="404">
        <v>120</v>
      </c>
      <c r="G6" s="404">
        <v>160</v>
      </c>
      <c r="H6" s="480">
        <v>0.5</v>
      </c>
      <c r="I6" s="480">
        <v>1.25</v>
      </c>
      <c r="J6" s="480">
        <v>0.75</v>
      </c>
      <c r="K6" s="480">
        <v>1.25</v>
      </c>
      <c r="L6" s="404" t="s">
        <v>420</v>
      </c>
      <c r="M6" s="404" t="s">
        <v>786</v>
      </c>
    </row>
    <row r="7" spans="2:13" x14ac:dyDescent="0.25">
      <c r="B7" s="419" t="s">
        <v>516</v>
      </c>
      <c r="C7" s="420" t="s">
        <v>518</v>
      </c>
      <c r="D7" s="493">
        <v>56.878761904761902</v>
      </c>
      <c r="E7" s="493">
        <v>113.7575238095238</v>
      </c>
      <c r="F7" s="493">
        <v>170.63628571428572</v>
      </c>
      <c r="G7" s="493">
        <v>227.51504761904761</v>
      </c>
      <c r="H7" s="481">
        <v>0.5</v>
      </c>
      <c r="I7" s="481">
        <v>1.25</v>
      </c>
      <c r="J7" s="481">
        <v>0.75</v>
      </c>
      <c r="K7" s="481">
        <v>1.25</v>
      </c>
      <c r="L7" s="420" t="s">
        <v>422</v>
      </c>
      <c r="M7" s="420" t="s">
        <v>786</v>
      </c>
    </row>
    <row r="8" spans="2:13" x14ac:dyDescent="0.25">
      <c r="B8" s="421" t="s">
        <v>376</v>
      </c>
      <c r="C8" s="429"/>
      <c r="D8" s="429"/>
      <c r="E8" s="429"/>
      <c r="F8" s="429" t="s">
        <v>787</v>
      </c>
      <c r="G8" s="429"/>
      <c r="H8" s="479"/>
      <c r="I8" s="479"/>
      <c r="J8" s="479"/>
      <c r="K8" s="479"/>
      <c r="L8" s="399"/>
      <c r="M8" s="400"/>
    </row>
    <row r="9" spans="2:13" x14ac:dyDescent="0.25">
      <c r="B9" s="402" t="s">
        <v>485</v>
      </c>
      <c r="C9" s="404" t="s">
        <v>518</v>
      </c>
      <c r="D9" s="404">
        <v>0.99</v>
      </c>
      <c r="E9" s="404">
        <v>0.99</v>
      </c>
      <c r="F9" s="404">
        <v>0.99</v>
      </c>
      <c r="G9" s="404">
        <v>0.99</v>
      </c>
      <c r="H9" s="480">
        <v>0.9</v>
      </c>
      <c r="I9" s="480">
        <v>1.5</v>
      </c>
      <c r="J9" s="480">
        <v>0.9</v>
      </c>
      <c r="K9" s="480">
        <v>1.25</v>
      </c>
      <c r="L9" s="404" t="s">
        <v>2</v>
      </c>
      <c r="M9" s="404">
        <v>5</v>
      </c>
    </row>
    <row r="10" spans="2:13" x14ac:dyDescent="0.25">
      <c r="B10" s="419" t="s">
        <v>381</v>
      </c>
      <c r="C10" s="420" t="s">
        <v>518</v>
      </c>
      <c r="D10" s="420">
        <v>0.01</v>
      </c>
      <c r="E10" s="420">
        <v>0.01</v>
      </c>
      <c r="F10" s="420">
        <v>0.01</v>
      </c>
      <c r="G10" s="420">
        <v>0.01</v>
      </c>
      <c r="H10" s="481">
        <v>0.75</v>
      </c>
      <c r="I10" s="481">
        <v>1.25</v>
      </c>
      <c r="J10" s="481">
        <v>0.75</v>
      </c>
      <c r="K10" s="481">
        <v>1.25</v>
      </c>
      <c r="L10" s="420" t="s">
        <v>2</v>
      </c>
      <c r="M10" s="420">
        <v>5</v>
      </c>
    </row>
    <row r="11" spans="2:13" x14ac:dyDescent="0.25">
      <c r="B11" s="421" t="s">
        <v>253</v>
      </c>
      <c r="C11" s="429"/>
      <c r="D11" s="429"/>
      <c r="E11" s="429"/>
      <c r="F11" s="429"/>
      <c r="G11" s="429"/>
      <c r="H11" s="479"/>
      <c r="I11" s="479"/>
      <c r="J11" s="479"/>
      <c r="K11" s="479"/>
      <c r="L11" s="399"/>
      <c r="M11" s="400"/>
    </row>
    <row r="12" spans="2:13" x14ac:dyDescent="0.25">
      <c r="B12" s="402" t="s">
        <v>809</v>
      </c>
      <c r="C12" s="404" t="s">
        <v>518</v>
      </c>
      <c r="D12" s="404">
        <v>0.38</v>
      </c>
      <c r="E12" s="404">
        <v>0.39</v>
      </c>
      <c r="F12" s="404">
        <v>0.4</v>
      </c>
      <c r="G12" s="404">
        <v>0.41</v>
      </c>
      <c r="H12" s="480">
        <v>0.9</v>
      </c>
      <c r="I12" s="480">
        <v>1.1000000000000001</v>
      </c>
      <c r="J12" s="480">
        <v>0.9</v>
      </c>
      <c r="K12" s="480">
        <v>1.1000000000000001</v>
      </c>
      <c r="L12" s="404" t="s">
        <v>2</v>
      </c>
      <c r="M12" s="404">
        <v>5</v>
      </c>
    </row>
    <row r="13" spans="2:13" x14ac:dyDescent="0.25">
      <c r="B13" s="435" t="s">
        <v>810</v>
      </c>
      <c r="C13" s="438" t="s">
        <v>518</v>
      </c>
      <c r="D13" s="438">
        <v>0.17</v>
      </c>
      <c r="E13" s="438">
        <v>0.18</v>
      </c>
      <c r="F13" s="438">
        <v>0.18</v>
      </c>
      <c r="G13" s="438">
        <v>0.19</v>
      </c>
      <c r="H13" s="480">
        <v>0.9</v>
      </c>
      <c r="I13" s="480">
        <v>1.1000000000000001</v>
      </c>
      <c r="J13" s="480">
        <v>0.9</v>
      </c>
      <c r="K13" s="480">
        <v>1.1000000000000001</v>
      </c>
      <c r="L13" s="404" t="s">
        <v>2</v>
      </c>
      <c r="M13" s="404">
        <v>5</v>
      </c>
    </row>
    <row r="14" spans="2:13" x14ac:dyDescent="0.25">
      <c r="B14" s="419" t="s">
        <v>681</v>
      </c>
      <c r="C14" s="420" t="s">
        <v>518</v>
      </c>
      <c r="D14" s="420">
        <v>0</v>
      </c>
      <c r="E14" s="420">
        <v>0</v>
      </c>
      <c r="F14" s="420">
        <v>0</v>
      </c>
      <c r="G14" s="420">
        <v>0</v>
      </c>
      <c r="H14" s="481">
        <v>0.9</v>
      </c>
      <c r="I14" s="481">
        <v>1.1000000000000001</v>
      </c>
      <c r="J14" s="481">
        <v>0.9</v>
      </c>
      <c r="K14" s="481">
        <v>1.1000000000000001</v>
      </c>
      <c r="L14" s="420" t="s">
        <v>2</v>
      </c>
      <c r="M14" s="420">
        <v>5</v>
      </c>
    </row>
    <row r="15" spans="2:13" x14ac:dyDescent="0.25">
      <c r="B15" s="427"/>
      <c r="C15" s="429"/>
      <c r="D15" s="429"/>
      <c r="E15" s="429"/>
      <c r="F15" s="429"/>
      <c r="G15" s="429"/>
      <c r="H15" s="479"/>
      <c r="I15" s="479"/>
      <c r="J15" s="479"/>
      <c r="K15" s="479"/>
      <c r="L15" s="399"/>
      <c r="M15" s="400"/>
    </row>
    <row r="16" spans="2:13" x14ac:dyDescent="0.25">
      <c r="B16" s="402" t="s">
        <v>100</v>
      </c>
      <c r="C16" s="404" t="s">
        <v>518</v>
      </c>
      <c r="D16" s="404">
        <v>4</v>
      </c>
      <c r="E16" s="404">
        <v>4</v>
      </c>
      <c r="F16" s="404">
        <v>0</v>
      </c>
      <c r="G16" s="404">
        <v>0</v>
      </c>
      <c r="H16" s="456"/>
      <c r="I16" s="456"/>
      <c r="J16" s="456"/>
      <c r="K16" s="456"/>
      <c r="L16" s="404"/>
      <c r="M16" s="404"/>
    </row>
    <row r="17" spans="2:13" x14ac:dyDescent="0.25">
      <c r="B17" s="406" t="s">
        <v>24</v>
      </c>
      <c r="C17" s="418" t="s">
        <v>518</v>
      </c>
      <c r="D17" s="418">
        <v>2</v>
      </c>
      <c r="E17" s="418">
        <v>3</v>
      </c>
      <c r="F17" s="418">
        <v>4</v>
      </c>
      <c r="G17" s="418">
        <v>5</v>
      </c>
      <c r="H17" s="407"/>
      <c r="I17" s="407"/>
      <c r="J17" s="407"/>
      <c r="K17" s="488"/>
      <c r="L17" s="418"/>
      <c r="M17" s="418">
        <v>5</v>
      </c>
    </row>
    <row r="18" spans="2:13" x14ac:dyDescent="0.25">
      <c r="B18" s="406" t="s">
        <v>14</v>
      </c>
      <c r="C18" s="418" t="s">
        <v>518</v>
      </c>
      <c r="D18" s="418" t="s">
        <v>779</v>
      </c>
      <c r="E18" s="418" t="s">
        <v>779</v>
      </c>
      <c r="F18" s="418" t="s">
        <v>779</v>
      </c>
      <c r="G18" s="418" t="s">
        <v>779</v>
      </c>
      <c r="H18" s="407"/>
      <c r="I18" s="407"/>
      <c r="J18" s="407"/>
      <c r="K18" s="488"/>
      <c r="L18" s="418"/>
      <c r="M18" s="406"/>
    </row>
    <row r="19" spans="2:13" x14ac:dyDescent="0.25">
      <c r="B19" s="419" t="s">
        <v>12</v>
      </c>
      <c r="C19" s="420" t="s">
        <v>518</v>
      </c>
      <c r="D19" s="420">
        <v>2</v>
      </c>
      <c r="E19" s="420">
        <v>2</v>
      </c>
      <c r="F19" s="420">
        <v>2</v>
      </c>
      <c r="G19" s="420">
        <v>2</v>
      </c>
      <c r="H19" s="434"/>
      <c r="I19" s="434"/>
      <c r="J19" s="434"/>
      <c r="K19" s="481"/>
      <c r="L19" s="420"/>
      <c r="M19" s="420">
        <v>5</v>
      </c>
    </row>
    <row r="20" spans="2:13" x14ac:dyDescent="0.25">
      <c r="B20" s="421" t="s">
        <v>9</v>
      </c>
      <c r="C20" s="429"/>
      <c r="D20" s="429"/>
      <c r="E20" s="429"/>
      <c r="F20" s="429"/>
      <c r="G20" s="429"/>
      <c r="H20" s="482"/>
      <c r="I20" s="482"/>
      <c r="J20" s="482"/>
      <c r="K20" s="489"/>
      <c r="L20" s="399"/>
      <c r="M20" s="453"/>
    </row>
    <row r="21" spans="2:13" x14ac:dyDescent="0.25">
      <c r="B21" s="402" t="s">
        <v>753</v>
      </c>
      <c r="C21" s="404" t="s">
        <v>518</v>
      </c>
      <c r="D21" s="494">
        <v>2.7822558139534888</v>
      </c>
      <c r="E21" s="494">
        <v>1.5766116279069771</v>
      </c>
      <c r="F21" s="494">
        <v>1.1546361627906978</v>
      </c>
      <c r="G21" s="494">
        <v>0.92741860465116288</v>
      </c>
      <c r="H21" s="480">
        <v>0.75</v>
      </c>
      <c r="I21" s="480">
        <v>1.25</v>
      </c>
      <c r="J21" s="480">
        <v>0.75</v>
      </c>
      <c r="K21" s="480">
        <v>1.25</v>
      </c>
      <c r="L21" s="404" t="s">
        <v>788</v>
      </c>
      <c r="M21" s="404" t="s">
        <v>789</v>
      </c>
    </row>
    <row r="22" spans="2:13" x14ac:dyDescent="0.25">
      <c r="B22" s="406" t="s">
        <v>434</v>
      </c>
      <c r="C22" s="418" t="s">
        <v>518</v>
      </c>
      <c r="D22" s="418">
        <v>75</v>
      </c>
      <c r="E22" s="418">
        <v>75</v>
      </c>
      <c r="F22" s="418">
        <v>75</v>
      </c>
      <c r="G22" s="418">
        <v>75</v>
      </c>
      <c r="H22" s="488"/>
      <c r="I22" s="488"/>
      <c r="J22" s="488"/>
      <c r="K22" s="488"/>
      <c r="L22" s="418"/>
      <c r="M22" s="418"/>
    </row>
    <row r="23" spans="2:13" x14ac:dyDescent="0.25">
      <c r="B23" s="406" t="s">
        <v>435</v>
      </c>
      <c r="C23" s="418" t="s">
        <v>518</v>
      </c>
      <c r="D23" s="418">
        <v>25</v>
      </c>
      <c r="E23" s="418">
        <v>25</v>
      </c>
      <c r="F23" s="418">
        <v>25</v>
      </c>
      <c r="G23" s="418">
        <v>25</v>
      </c>
      <c r="H23" s="488"/>
      <c r="I23" s="488"/>
      <c r="J23" s="488"/>
      <c r="K23" s="488"/>
      <c r="L23" s="418"/>
      <c r="M23" s="418"/>
    </row>
    <row r="24" spans="2:13" x14ac:dyDescent="0.25">
      <c r="B24" s="406" t="s">
        <v>754</v>
      </c>
      <c r="C24" s="418" t="s">
        <v>518</v>
      </c>
      <c r="D24" s="495">
        <v>2.7426976744186052E-2</v>
      </c>
      <c r="E24" s="495">
        <v>2.7426976744186052E-2</v>
      </c>
      <c r="F24" s="495">
        <v>2.7426976744186045E-2</v>
      </c>
      <c r="G24" s="495">
        <v>2.7426976744186052E-2</v>
      </c>
      <c r="H24" s="488">
        <v>0.75</v>
      </c>
      <c r="I24" s="488">
        <v>1.25</v>
      </c>
      <c r="J24" s="488">
        <v>0.75</v>
      </c>
      <c r="K24" s="488">
        <v>1.25</v>
      </c>
      <c r="L24" s="418" t="s">
        <v>322</v>
      </c>
      <c r="M24" s="418">
        <v>5</v>
      </c>
    </row>
    <row r="25" spans="2:13" x14ac:dyDescent="0.25">
      <c r="B25" s="406" t="s">
        <v>755</v>
      </c>
      <c r="C25" s="418" t="s">
        <v>518</v>
      </c>
      <c r="D25" s="496">
        <v>1.306046511627907</v>
      </c>
      <c r="E25" s="496">
        <v>1.306046511627907</v>
      </c>
      <c r="F25" s="496">
        <v>1.306046511627907</v>
      </c>
      <c r="G25" s="496">
        <v>1.306046511627907</v>
      </c>
      <c r="H25" s="488">
        <v>0.75</v>
      </c>
      <c r="I25" s="488">
        <v>1.25</v>
      </c>
      <c r="J25" s="488">
        <v>0.75</v>
      </c>
      <c r="K25" s="488">
        <v>1.25</v>
      </c>
      <c r="L25" s="418" t="s">
        <v>322</v>
      </c>
      <c r="M25" s="418">
        <v>5</v>
      </c>
    </row>
    <row r="26" spans="2:13" x14ac:dyDescent="0.25">
      <c r="B26" s="419" t="s">
        <v>683</v>
      </c>
      <c r="C26" s="420" t="s">
        <v>518</v>
      </c>
      <c r="D26" s="420">
        <v>0</v>
      </c>
      <c r="E26" s="420">
        <v>0</v>
      </c>
      <c r="F26" s="420">
        <v>0</v>
      </c>
      <c r="G26" s="420">
        <v>0</v>
      </c>
      <c r="H26" s="481"/>
      <c r="I26" s="481"/>
      <c r="J26" s="481"/>
      <c r="K26" s="481"/>
      <c r="L26" s="420"/>
      <c r="M26" s="420"/>
    </row>
    <row r="27" spans="2:13" x14ac:dyDescent="0.25">
      <c r="B27" s="421" t="s">
        <v>268</v>
      </c>
      <c r="C27" s="429"/>
      <c r="D27" s="429"/>
      <c r="E27" s="429"/>
      <c r="F27" s="429"/>
      <c r="G27" s="429"/>
      <c r="H27" s="482"/>
      <c r="I27" s="482"/>
      <c r="J27" s="482"/>
      <c r="K27" s="482"/>
      <c r="L27" s="399"/>
      <c r="M27" s="400"/>
    </row>
    <row r="28" spans="2:13" x14ac:dyDescent="0.25">
      <c r="B28" s="402" t="s">
        <v>439</v>
      </c>
      <c r="C28" s="404">
        <v>43</v>
      </c>
      <c r="D28" s="404">
        <v>43</v>
      </c>
      <c r="E28" s="404">
        <v>43</v>
      </c>
      <c r="F28" s="404">
        <v>43</v>
      </c>
      <c r="G28" s="404">
        <v>43</v>
      </c>
      <c r="H28" s="480"/>
      <c r="I28" s="480"/>
      <c r="J28" s="480"/>
      <c r="K28" s="480"/>
      <c r="L28" s="404"/>
      <c r="M28" s="402"/>
    </row>
    <row r="29" spans="2:13" x14ac:dyDescent="0.25">
      <c r="B29" s="406" t="s">
        <v>733</v>
      </c>
      <c r="C29" s="418">
        <v>0.78</v>
      </c>
      <c r="D29" s="418">
        <v>0.78</v>
      </c>
      <c r="E29" s="418">
        <v>0.78</v>
      </c>
      <c r="F29" s="418">
        <v>0.78</v>
      </c>
      <c r="G29" s="418">
        <v>0.78</v>
      </c>
      <c r="H29" s="488"/>
      <c r="I29" s="488"/>
      <c r="J29" s="488"/>
      <c r="K29" s="488"/>
      <c r="L29" s="418"/>
      <c r="M29" s="406"/>
    </row>
    <row r="30" spans="2:13" x14ac:dyDescent="0.25">
      <c r="B30" s="406" t="s">
        <v>682</v>
      </c>
      <c r="C30" s="418" t="s">
        <v>518</v>
      </c>
      <c r="D30" s="496">
        <v>3.9562500000000003</v>
      </c>
      <c r="E30" s="496">
        <v>2.2418750000000003</v>
      </c>
      <c r="F30" s="496">
        <v>1.64184375</v>
      </c>
      <c r="G30" s="496">
        <v>1.3187500000000001</v>
      </c>
      <c r="H30" s="488">
        <v>0.75</v>
      </c>
      <c r="I30" s="488">
        <v>1.25</v>
      </c>
      <c r="J30" s="488">
        <v>0.75</v>
      </c>
      <c r="K30" s="488">
        <v>1.25</v>
      </c>
      <c r="L30" s="418" t="s">
        <v>788</v>
      </c>
      <c r="M30" s="418" t="s">
        <v>789</v>
      </c>
    </row>
    <row r="31" spans="2:13" x14ac:dyDescent="0.25">
      <c r="B31" s="406" t="s">
        <v>434</v>
      </c>
      <c r="C31" s="418" t="s">
        <v>518</v>
      </c>
      <c r="D31" s="418">
        <v>75</v>
      </c>
      <c r="E31" s="418">
        <v>75</v>
      </c>
      <c r="F31" s="418">
        <v>75</v>
      </c>
      <c r="G31" s="418">
        <v>75</v>
      </c>
      <c r="H31" s="488"/>
      <c r="I31" s="488"/>
      <c r="J31" s="488"/>
      <c r="K31" s="488"/>
      <c r="L31" s="418"/>
      <c r="M31" s="418"/>
    </row>
    <row r="32" spans="2:13" x14ac:dyDescent="0.25">
      <c r="B32" s="406" t="s">
        <v>435</v>
      </c>
      <c r="C32" s="418" t="s">
        <v>518</v>
      </c>
      <c r="D32" s="418">
        <v>25</v>
      </c>
      <c r="E32" s="418">
        <v>25</v>
      </c>
      <c r="F32" s="418">
        <v>25</v>
      </c>
      <c r="G32" s="418">
        <v>25</v>
      </c>
      <c r="H32" s="488"/>
      <c r="I32" s="488"/>
      <c r="J32" s="488"/>
      <c r="K32" s="488"/>
      <c r="L32" s="418"/>
      <c r="M32" s="418"/>
    </row>
    <row r="33" spans="2:13" x14ac:dyDescent="0.25">
      <c r="B33" s="406" t="s">
        <v>522</v>
      </c>
      <c r="C33" s="418" t="s">
        <v>518</v>
      </c>
      <c r="D33" s="495">
        <v>3.9E-2</v>
      </c>
      <c r="E33" s="495">
        <v>3.9E-2</v>
      </c>
      <c r="F33" s="495">
        <v>3.9E-2</v>
      </c>
      <c r="G33" s="495">
        <v>3.9E-2</v>
      </c>
      <c r="H33" s="488">
        <v>0.75</v>
      </c>
      <c r="I33" s="488">
        <v>1.25</v>
      </c>
      <c r="J33" s="488">
        <v>0.75</v>
      </c>
      <c r="K33" s="488">
        <v>1.25</v>
      </c>
      <c r="L33" s="418" t="s">
        <v>322</v>
      </c>
      <c r="M33" s="418">
        <v>5</v>
      </c>
    </row>
    <row r="34" spans="2:13" x14ac:dyDescent="0.25">
      <c r="B34" s="406" t="s">
        <v>790</v>
      </c>
      <c r="C34" s="418" t="s">
        <v>518</v>
      </c>
      <c r="D34" s="495">
        <v>1.5600000000000001E-2</v>
      </c>
      <c r="E34" s="495">
        <v>1.5600000000000001E-2</v>
      </c>
      <c r="F34" s="495">
        <v>1.5600000000000001E-2</v>
      </c>
      <c r="G34" s="495">
        <v>1.5600000000000001E-2</v>
      </c>
      <c r="H34" s="488">
        <v>0.75</v>
      </c>
      <c r="I34" s="488">
        <v>1.25</v>
      </c>
      <c r="J34" s="488">
        <v>0.75</v>
      </c>
      <c r="K34" s="488">
        <v>1.25</v>
      </c>
      <c r="L34" s="418" t="s">
        <v>322</v>
      </c>
      <c r="M34" s="418">
        <v>5</v>
      </c>
    </row>
    <row r="35" spans="2:13" x14ac:dyDescent="0.25">
      <c r="B35" s="406" t="s">
        <v>683</v>
      </c>
      <c r="C35" s="418" t="s">
        <v>518</v>
      </c>
      <c r="D35" s="418">
        <v>0</v>
      </c>
      <c r="E35" s="418">
        <v>0</v>
      </c>
      <c r="F35" s="418">
        <v>0</v>
      </c>
      <c r="G35" s="418">
        <v>0</v>
      </c>
      <c r="H35" s="497"/>
      <c r="I35" s="497"/>
      <c r="J35" s="497"/>
      <c r="K35" s="497"/>
      <c r="L35" s="418"/>
      <c r="M35" s="418"/>
    </row>
    <row r="36" spans="2:13" x14ac:dyDescent="0.25">
      <c r="C36" s="490"/>
      <c r="D36" s="490"/>
      <c r="E36" s="490"/>
      <c r="F36" s="490"/>
      <c r="G36" s="490"/>
      <c r="H36" s="491"/>
      <c r="I36" s="491"/>
      <c r="J36" s="491"/>
      <c r="K36" s="491"/>
      <c r="L36" s="492"/>
      <c r="M36" s="492"/>
    </row>
    <row r="37" spans="2:13" x14ac:dyDescent="0.25">
      <c r="B37" t="s">
        <v>6</v>
      </c>
    </row>
    <row r="38" spans="2:13" x14ac:dyDescent="0.25">
      <c r="B38" t="s">
        <v>791</v>
      </c>
    </row>
    <row r="39" spans="2:13" x14ac:dyDescent="0.25">
      <c r="B39" t="s">
        <v>441</v>
      </c>
      <c r="K39" s="492"/>
      <c r="L39" s="492"/>
    </row>
    <row r="40" spans="2:13" x14ac:dyDescent="0.25">
      <c r="B40" t="s">
        <v>792</v>
      </c>
    </row>
    <row r="41" spans="2:13" x14ac:dyDescent="0.25">
      <c r="B41" t="s">
        <v>793</v>
      </c>
    </row>
    <row r="42" spans="2:13" x14ac:dyDescent="0.25">
      <c r="B42" t="s">
        <v>794</v>
      </c>
    </row>
    <row r="43" spans="2:13" x14ac:dyDescent="0.25">
      <c r="B43" t="s">
        <v>795</v>
      </c>
    </row>
    <row r="44" spans="2:13" x14ac:dyDescent="0.25">
      <c r="B44" t="s">
        <v>796</v>
      </c>
    </row>
  </sheetData>
  <mergeCells count="3">
    <mergeCell ref="C2:M2"/>
    <mergeCell ref="H3:I3"/>
    <mergeCell ref="J3:K3"/>
  </mergeCells>
  <hyperlinks>
    <hyperlink ref="H1" location="Index" display="Back to Index"/>
  </hyperlink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5"/>
  <sheetViews>
    <sheetView topLeftCell="A22" workbookViewId="0">
      <selection activeCell="Q3" sqref="Q3"/>
    </sheetView>
  </sheetViews>
  <sheetFormatPr defaultRowHeight="15" x14ac:dyDescent="0.25"/>
  <cols>
    <col min="1" max="1" width="2.42578125" customWidth="1"/>
    <col min="2" max="2" width="27.140625" customWidth="1"/>
    <col min="3" max="14" width="5.7109375" customWidth="1"/>
  </cols>
  <sheetData>
    <row r="1" spans="2:14" x14ac:dyDescent="0.25">
      <c r="H1" s="355" t="s">
        <v>709</v>
      </c>
    </row>
    <row r="2" spans="2:14" ht="15" customHeight="1" x14ac:dyDescent="0.25">
      <c r="B2" s="667" t="s">
        <v>20</v>
      </c>
      <c r="C2" s="667"/>
      <c r="D2" s="668" t="s">
        <v>797</v>
      </c>
      <c r="E2" s="668"/>
      <c r="F2" s="668"/>
      <c r="G2" s="668"/>
      <c r="H2" s="668"/>
      <c r="I2" s="668"/>
      <c r="J2" s="668"/>
      <c r="K2" s="668"/>
      <c r="L2" s="668"/>
      <c r="M2" s="668"/>
      <c r="N2" s="668"/>
    </row>
    <row r="3" spans="2:14" ht="22.5" customHeight="1" x14ac:dyDescent="0.25">
      <c r="B3" s="669"/>
      <c r="C3" s="667">
        <v>2015</v>
      </c>
      <c r="D3" s="667">
        <v>2020</v>
      </c>
      <c r="E3" s="667">
        <v>2030</v>
      </c>
      <c r="F3" s="667">
        <v>2040</v>
      </c>
      <c r="G3" s="667">
        <v>2050</v>
      </c>
      <c r="H3" s="668" t="s">
        <v>26</v>
      </c>
      <c r="I3" s="668"/>
      <c r="J3" s="668"/>
      <c r="K3" s="668" t="s">
        <v>25</v>
      </c>
      <c r="L3" s="668"/>
      <c r="M3" s="667" t="s">
        <v>19</v>
      </c>
      <c r="N3" s="667" t="s">
        <v>18</v>
      </c>
    </row>
    <row r="4" spans="2:14" x14ac:dyDescent="0.25">
      <c r="B4" s="667"/>
      <c r="C4" s="669"/>
      <c r="D4" s="669"/>
      <c r="E4" s="669"/>
      <c r="F4" s="667"/>
      <c r="G4" s="669"/>
      <c r="H4" s="668" t="s">
        <v>17</v>
      </c>
      <c r="I4" s="668"/>
      <c r="J4" s="667" t="s">
        <v>16</v>
      </c>
      <c r="K4" s="667" t="s">
        <v>17</v>
      </c>
      <c r="L4" s="667" t="s">
        <v>16</v>
      </c>
      <c r="M4" s="669"/>
      <c r="N4" s="669"/>
    </row>
    <row r="5" spans="2:14" x14ac:dyDescent="0.25">
      <c r="B5" s="670" t="s">
        <v>15</v>
      </c>
      <c r="C5" s="670"/>
      <c r="D5" s="670"/>
      <c r="E5" s="670"/>
      <c r="F5" s="670"/>
      <c r="G5" s="670"/>
      <c r="H5" s="670"/>
      <c r="I5" s="670"/>
      <c r="J5" s="670"/>
      <c r="K5" s="670"/>
      <c r="L5" s="670"/>
      <c r="M5" s="670"/>
      <c r="N5" s="670"/>
    </row>
    <row r="6" spans="2:14" ht="22.5" x14ac:dyDescent="0.25">
      <c r="B6" s="671" t="s">
        <v>798</v>
      </c>
      <c r="C6" s="672" t="s">
        <v>518</v>
      </c>
      <c r="D6" s="672">
        <v>40</v>
      </c>
      <c r="E6" s="672">
        <v>80</v>
      </c>
      <c r="F6" s="672">
        <v>120</v>
      </c>
      <c r="G6" s="672">
        <v>160</v>
      </c>
      <c r="H6" s="673">
        <v>0.5</v>
      </c>
      <c r="I6" s="673"/>
      <c r="J6" s="674">
        <v>1.25</v>
      </c>
      <c r="K6" s="674">
        <v>0.75</v>
      </c>
      <c r="L6" s="674">
        <v>1.25</v>
      </c>
      <c r="M6" s="672" t="s">
        <v>420</v>
      </c>
      <c r="N6" s="672" t="s">
        <v>786</v>
      </c>
    </row>
    <row r="7" spans="2:14" x14ac:dyDescent="0.25">
      <c r="B7" s="671" t="s">
        <v>516</v>
      </c>
      <c r="C7" s="672" t="s">
        <v>518</v>
      </c>
      <c r="D7" s="672">
        <v>57</v>
      </c>
      <c r="E7" s="672">
        <v>114</v>
      </c>
      <c r="F7" s="672">
        <v>171</v>
      </c>
      <c r="G7" s="672">
        <v>228</v>
      </c>
      <c r="H7" s="673">
        <v>0.5</v>
      </c>
      <c r="I7" s="673"/>
      <c r="J7" s="674">
        <v>1.25</v>
      </c>
      <c r="K7" s="674">
        <v>0.75</v>
      </c>
      <c r="L7" s="674">
        <v>1.25</v>
      </c>
      <c r="M7" s="672" t="s">
        <v>422</v>
      </c>
      <c r="N7" s="672" t="s">
        <v>786</v>
      </c>
    </row>
    <row r="8" spans="2:14" x14ac:dyDescent="0.25">
      <c r="B8" s="675" t="s">
        <v>376</v>
      </c>
      <c r="C8" s="675"/>
      <c r="D8" s="675"/>
      <c r="E8" s="675"/>
      <c r="F8" s="675"/>
      <c r="G8" s="675"/>
      <c r="H8" s="675"/>
      <c r="I8" s="675"/>
      <c r="J8" s="675"/>
      <c r="K8" s="675"/>
      <c r="L8" s="675"/>
      <c r="M8" s="675"/>
      <c r="N8" s="675"/>
    </row>
    <row r="9" spans="2:14" ht="22.5" x14ac:dyDescent="0.25">
      <c r="B9" s="671" t="s">
        <v>485</v>
      </c>
      <c r="C9" s="672" t="s">
        <v>518</v>
      </c>
      <c r="D9" s="672">
        <v>0.77</v>
      </c>
      <c r="E9" s="672">
        <v>0.77</v>
      </c>
      <c r="F9" s="672">
        <v>0.77</v>
      </c>
      <c r="G9" s="672">
        <v>0.77</v>
      </c>
      <c r="H9" s="673">
        <v>0.9</v>
      </c>
      <c r="I9" s="673"/>
      <c r="J9" s="674">
        <v>1.5</v>
      </c>
      <c r="K9" s="674">
        <v>0.9</v>
      </c>
      <c r="L9" s="674">
        <v>1.25</v>
      </c>
      <c r="M9" s="672" t="s">
        <v>3</v>
      </c>
      <c r="N9" s="672">
        <v>1</v>
      </c>
    </row>
    <row r="10" spans="2:14" ht="22.5" x14ac:dyDescent="0.25">
      <c r="B10" s="671" t="s">
        <v>659</v>
      </c>
      <c r="C10" s="672" t="s">
        <v>518</v>
      </c>
      <c r="D10" s="672">
        <v>0.23</v>
      </c>
      <c r="E10" s="672">
        <v>0.23</v>
      </c>
      <c r="F10" s="672">
        <v>0.23</v>
      </c>
      <c r="G10" s="672">
        <v>0.23</v>
      </c>
      <c r="H10" s="673">
        <v>0.75</v>
      </c>
      <c r="I10" s="673"/>
      <c r="J10" s="674">
        <v>1.25</v>
      </c>
      <c r="K10" s="674">
        <v>0.75</v>
      </c>
      <c r="L10" s="674">
        <v>1.25</v>
      </c>
      <c r="M10" s="672" t="s">
        <v>3</v>
      </c>
      <c r="N10" s="672">
        <v>1</v>
      </c>
    </row>
    <row r="11" spans="2:14" x14ac:dyDescent="0.25">
      <c r="B11" s="675" t="s">
        <v>253</v>
      </c>
      <c r="C11" s="675"/>
      <c r="D11" s="675"/>
      <c r="E11" s="675"/>
      <c r="F11" s="675"/>
      <c r="G11" s="675"/>
      <c r="H11" s="675"/>
      <c r="I11" s="675"/>
      <c r="J11" s="675"/>
      <c r="K11" s="675"/>
      <c r="L11" s="675"/>
      <c r="M11" s="675"/>
      <c r="N11" s="675"/>
    </row>
    <row r="12" spans="2:14" ht="22.5" x14ac:dyDescent="0.25">
      <c r="B12" s="671" t="s">
        <v>799</v>
      </c>
      <c r="C12" s="672" t="s">
        <v>518</v>
      </c>
      <c r="D12" s="672">
        <v>0.38</v>
      </c>
      <c r="E12" s="672">
        <v>0.38</v>
      </c>
      <c r="F12" s="672">
        <v>0.38</v>
      </c>
      <c r="G12" s="672">
        <v>0.38</v>
      </c>
      <c r="H12" s="674">
        <v>0.9</v>
      </c>
      <c r="I12" s="673">
        <v>1.1000000000000001</v>
      </c>
      <c r="J12" s="673"/>
      <c r="K12" s="674">
        <v>0.9</v>
      </c>
      <c r="L12" s="674">
        <v>1.1000000000000001</v>
      </c>
      <c r="M12" s="672" t="s">
        <v>3</v>
      </c>
      <c r="N12" s="672">
        <v>1</v>
      </c>
    </row>
    <row r="13" spans="2:14" ht="22.5" x14ac:dyDescent="0.25">
      <c r="B13" s="671" t="s">
        <v>800</v>
      </c>
      <c r="C13" s="672" t="s">
        <v>518</v>
      </c>
      <c r="D13" s="672">
        <v>0.13</v>
      </c>
      <c r="E13" s="672">
        <v>0.13</v>
      </c>
      <c r="F13" s="672">
        <v>0.13</v>
      </c>
      <c r="G13" s="672">
        <v>0.13</v>
      </c>
      <c r="H13" s="674">
        <v>0.9</v>
      </c>
      <c r="I13" s="673">
        <v>1.1000000000000001</v>
      </c>
      <c r="J13" s="673"/>
      <c r="K13" s="674">
        <v>0.9</v>
      </c>
      <c r="L13" s="674">
        <v>1.1000000000000001</v>
      </c>
      <c r="M13" s="672" t="s">
        <v>3</v>
      </c>
      <c r="N13" s="672">
        <v>1</v>
      </c>
    </row>
    <row r="14" spans="2:14" x14ac:dyDescent="0.25">
      <c r="B14" s="671" t="s">
        <v>801</v>
      </c>
      <c r="C14" s="672" t="s">
        <v>518</v>
      </c>
      <c r="D14" s="672">
        <v>0.31</v>
      </c>
      <c r="E14" s="672">
        <v>0.31</v>
      </c>
      <c r="F14" s="672">
        <v>0.31</v>
      </c>
      <c r="G14" s="672">
        <v>0.31</v>
      </c>
      <c r="H14" s="674">
        <v>0.9</v>
      </c>
      <c r="I14" s="673">
        <v>1.1000000000000001</v>
      </c>
      <c r="J14" s="673"/>
      <c r="K14" s="674">
        <v>0.9</v>
      </c>
      <c r="L14" s="674">
        <v>1.1000000000000001</v>
      </c>
      <c r="M14" s="672" t="s">
        <v>3</v>
      </c>
      <c r="N14" s="672">
        <v>1</v>
      </c>
    </row>
    <row r="15" spans="2:14" x14ac:dyDescent="0.25">
      <c r="B15" s="671" t="s">
        <v>802</v>
      </c>
      <c r="C15" s="672" t="s">
        <v>518</v>
      </c>
      <c r="D15" s="672">
        <v>0.18</v>
      </c>
      <c r="E15" s="672">
        <v>0.18</v>
      </c>
      <c r="F15" s="672">
        <v>0.18</v>
      </c>
      <c r="G15" s="672">
        <v>0.18</v>
      </c>
      <c r="H15" s="674">
        <v>0.9</v>
      </c>
      <c r="I15" s="673">
        <v>1.1000000000000001</v>
      </c>
      <c r="J15" s="673"/>
      <c r="K15" s="674">
        <v>0.9</v>
      </c>
      <c r="L15" s="674">
        <v>1.1000000000000001</v>
      </c>
      <c r="M15" s="672" t="s">
        <v>3</v>
      </c>
      <c r="N15" s="672">
        <v>1</v>
      </c>
    </row>
    <row r="16" spans="2:14" x14ac:dyDescent="0.25">
      <c r="B16" s="670" t="s">
        <v>9</v>
      </c>
      <c r="C16" s="670"/>
      <c r="D16" s="670"/>
      <c r="E16" s="670"/>
      <c r="F16" s="670"/>
      <c r="G16" s="670"/>
      <c r="H16" s="670"/>
      <c r="I16" s="670"/>
      <c r="J16" s="670"/>
      <c r="K16" s="670"/>
      <c r="L16" s="670"/>
      <c r="M16" s="670"/>
      <c r="N16" s="670"/>
    </row>
    <row r="17" spans="2:14" ht="22.5" x14ac:dyDescent="0.25">
      <c r="B17" s="676" t="s">
        <v>815</v>
      </c>
      <c r="C17" s="677" t="s">
        <v>518</v>
      </c>
      <c r="D17" s="672">
        <v>2.1800000000000002</v>
      </c>
      <c r="E17" s="672">
        <v>1.23</v>
      </c>
      <c r="F17" s="677">
        <v>0.9</v>
      </c>
      <c r="G17" s="672">
        <v>0.73</v>
      </c>
      <c r="H17" s="673">
        <v>0.75</v>
      </c>
      <c r="I17" s="673"/>
      <c r="J17" s="678">
        <v>1.25</v>
      </c>
      <c r="K17" s="678">
        <v>0.75</v>
      </c>
      <c r="L17" s="678">
        <v>1.25</v>
      </c>
      <c r="M17" s="677" t="s">
        <v>816</v>
      </c>
      <c r="N17" s="677" t="s">
        <v>789</v>
      </c>
    </row>
    <row r="18" spans="2:14" x14ac:dyDescent="0.25">
      <c r="B18" s="676" t="s">
        <v>434</v>
      </c>
      <c r="C18" s="677" t="s">
        <v>518</v>
      </c>
      <c r="D18" s="677">
        <v>75</v>
      </c>
      <c r="E18" s="677">
        <v>75</v>
      </c>
      <c r="F18" s="677">
        <v>75</v>
      </c>
      <c r="G18" s="677">
        <v>75</v>
      </c>
      <c r="H18" s="679"/>
      <c r="I18" s="679"/>
      <c r="J18" s="672"/>
      <c r="K18" s="672"/>
      <c r="L18" s="672"/>
      <c r="M18" s="672"/>
      <c r="N18" s="672"/>
    </row>
    <row r="19" spans="2:14" x14ac:dyDescent="0.25">
      <c r="B19" s="676" t="s">
        <v>435</v>
      </c>
      <c r="C19" s="677" t="s">
        <v>518</v>
      </c>
      <c r="D19" s="677">
        <v>25</v>
      </c>
      <c r="E19" s="677">
        <v>25</v>
      </c>
      <c r="F19" s="677">
        <v>25</v>
      </c>
      <c r="G19" s="677">
        <v>25</v>
      </c>
      <c r="H19" s="679"/>
      <c r="I19" s="679"/>
      <c r="J19" s="672"/>
      <c r="K19" s="672"/>
      <c r="L19" s="672"/>
      <c r="M19" s="672"/>
      <c r="N19" s="672"/>
    </row>
    <row r="20" spans="2:14" x14ac:dyDescent="0.25">
      <c r="B20" s="676" t="s">
        <v>817</v>
      </c>
      <c r="C20" s="677" t="s">
        <v>518</v>
      </c>
      <c r="D20" s="672">
        <v>44</v>
      </c>
      <c r="E20" s="672">
        <v>44</v>
      </c>
      <c r="F20" s="672">
        <v>44</v>
      </c>
      <c r="G20" s="672">
        <v>44</v>
      </c>
      <c r="H20" s="680">
        <v>0.75</v>
      </c>
      <c r="I20" s="680"/>
      <c r="J20" s="677">
        <v>1.25</v>
      </c>
      <c r="K20" s="677">
        <v>0.75</v>
      </c>
      <c r="L20" s="677">
        <v>1.25</v>
      </c>
      <c r="M20" s="677" t="s">
        <v>322</v>
      </c>
      <c r="N20" s="677">
        <v>5</v>
      </c>
    </row>
    <row r="21" spans="2:14" x14ac:dyDescent="0.25">
      <c r="B21" s="676" t="s">
        <v>818</v>
      </c>
      <c r="C21" s="677" t="s">
        <v>518</v>
      </c>
      <c r="D21" s="677">
        <v>0.02</v>
      </c>
      <c r="E21" s="677">
        <v>0.02</v>
      </c>
      <c r="F21" s="677">
        <v>0.02</v>
      </c>
      <c r="G21" s="677">
        <v>0.02</v>
      </c>
      <c r="H21" s="680">
        <v>0.75</v>
      </c>
      <c r="I21" s="680"/>
      <c r="J21" s="677">
        <v>1.25</v>
      </c>
      <c r="K21" s="677">
        <v>0.75</v>
      </c>
      <c r="L21" s="677">
        <v>1.25</v>
      </c>
      <c r="M21" s="677" t="s">
        <v>322</v>
      </c>
      <c r="N21" s="677">
        <v>5</v>
      </c>
    </row>
    <row r="22" spans="2:14" x14ac:dyDescent="0.25">
      <c r="B22" s="676" t="s">
        <v>819</v>
      </c>
      <c r="C22" s="677" t="s">
        <v>518</v>
      </c>
      <c r="D22" s="677">
        <v>0</v>
      </c>
      <c r="E22" s="677">
        <v>0</v>
      </c>
      <c r="F22" s="677">
        <v>0</v>
      </c>
      <c r="G22" s="677">
        <v>0</v>
      </c>
      <c r="H22" s="679"/>
      <c r="I22" s="679"/>
      <c r="J22" s="672"/>
      <c r="K22" s="672"/>
      <c r="L22" s="672"/>
      <c r="M22" s="672"/>
      <c r="N22" s="672"/>
    </row>
    <row r="23" spans="2:14" x14ac:dyDescent="0.25">
      <c r="B23" s="681" t="s">
        <v>268</v>
      </c>
      <c r="C23" s="679"/>
      <c r="D23" s="679"/>
      <c r="E23" s="679"/>
      <c r="F23" s="679"/>
      <c r="G23" s="679"/>
      <c r="H23" s="679"/>
      <c r="I23" s="679"/>
      <c r="J23" s="679"/>
      <c r="K23" s="679"/>
      <c r="L23" s="679"/>
      <c r="M23" s="679"/>
      <c r="N23" s="679"/>
    </row>
    <row r="24" spans="2:14" x14ac:dyDescent="0.25">
      <c r="B24" s="682" t="s">
        <v>439</v>
      </c>
      <c r="C24" s="672"/>
      <c r="D24" s="679">
        <v>43</v>
      </c>
      <c r="E24" s="679"/>
      <c r="F24" s="679"/>
      <c r="G24" s="679"/>
      <c r="H24" s="679"/>
      <c r="I24" s="679"/>
      <c r="J24" s="672"/>
      <c r="K24" s="672"/>
      <c r="L24" s="672"/>
      <c r="M24" s="672"/>
      <c r="N24" s="672"/>
    </row>
    <row r="25" spans="2:14" x14ac:dyDescent="0.25">
      <c r="B25" s="682" t="s">
        <v>820</v>
      </c>
      <c r="C25" s="672"/>
      <c r="D25" s="679">
        <v>0.83</v>
      </c>
      <c r="E25" s="679"/>
      <c r="F25" s="679"/>
      <c r="G25" s="679"/>
      <c r="H25" s="679"/>
      <c r="I25" s="679"/>
      <c r="J25" s="672"/>
      <c r="K25" s="672"/>
      <c r="L25" s="672"/>
      <c r="M25" s="672"/>
      <c r="N25" s="672"/>
    </row>
    <row r="26" spans="2:14" x14ac:dyDescent="0.25">
      <c r="B26" s="664"/>
      <c r="C26" s="664"/>
      <c r="D26" s="664"/>
      <c r="E26" s="664"/>
      <c r="F26" s="664"/>
      <c r="G26" s="664"/>
      <c r="H26" s="664"/>
      <c r="I26" s="664"/>
      <c r="J26" s="664"/>
      <c r="K26" s="664"/>
      <c r="L26" s="664"/>
      <c r="M26" s="664"/>
      <c r="N26" s="664"/>
    </row>
    <row r="27" spans="2:14" x14ac:dyDescent="0.25">
      <c r="B27" s="665"/>
    </row>
    <row r="28" spans="2:14" x14ac:dyDescent="0.25">
      <c r="B28" s="666" t="s">
        <v>821</v>
      </c>
    </row>
    <row r="29" spans="2:14" x14ac:dyDescent="0.25">
      <c r="B29" t="s">
        <v>803</v>
      </c>
    </row>
    <row r="30" spans="2:14" x14ac:dyDescent="0.25">
      <c r="B30" t="s">
        <v>615</v>
      </c>
    </row>
    <row r="31" spans="2:14" x14ac:dyDescent="0.25">
      <c r="B31" t="s">
        <v>804</v>
      </c>
    </row>
    <row r="32" spans="2:14" x14ac:dyDescent="0.25">
      <c r="B32" t="s">
        <v>805</v>
      </c>
    </row>
    <row r="33" spans="2:2" x14ac:dyDescent="0.25">
      <c r="B33" t="s">
        <v>822</v>
      </c>
    </row>
    <row r="34" spans="2:2" ht="16.5" customHeight="1" x14ac:dyDescent="0.25">
      <c r="B34" t="s">
        <v>823</v>
      </c>
    </row>
    <row r="35" spans="2:2" x14ac:dyDescent="0.25">
      <c r="B35" t="s">
        <v>587</v>
      </c>
    </row>
  </sheetData>
  <mergeCells count="27">
    <mergeCell ref="D24:G24"/>
    <mergeCell ref="H24:I24"/>
    <mergeCell ref="D25:G25"/>
    <mergeCell ref="H25:I25"/>
    <mergeCell ref="H19:I19"/>
    <mergeCell ref="H20:I20"/>
    <mergeCell ref="H21:I21"/>
    <mergeCell ref="H22:I22"/>
    <mergeCell ref="C23:N23"/>
    <mergeCell ref="B11:N11"/>
    <mergeCell ref="I12:J12"/>
    <mergeCell ref="I13:J13"/>
    <mergeCell ref="I14:J14"/>
    <mergeCell ref="I15:J15"/>
    <mergeCell ref="H17:I17"/>
    <mergeCell ref="H18:I18"/>
    <mergeCell ref="B16:N16"/>
    <mergeCell ref="D2:N2"/>
    <mergeCell ref="H3:J3"/>
    <mergeCell ref="K3:L3"/>
    <mergeCell ref="H4:I4"/>
    <mergeCell ref="B5:N5"/>
    <mergeCell ref="H6:I6"/>
    <mergeCell ref="H7:I7"/>
    <mergeCell ref="B8:N8"/>
    <mergeCell ref="H9:I9"/>
    <mergeCell ref="H10:I10"/>
  </mergeCells>
  <hyperlinks>
    <hyperlink ref="H1" location="Index" display="Back to Index"/>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Excel Dokument" ma:contentTypeID="0x010100008600E184967748BFA4CA34F83773ED0040C72188BCF4A349906F4396917C1B32" ma:contentTypeVersion="" ma:contentTypeDescription="Opret et nyt tomt Excel dokument" ma:contentTypeScope="" ma:versionID="8d8d17a0eae0feb20786ca554487ca8f">
  <xsd:schema xmlns:xsd="http://www.w3.org/2001/XMLSchema" xmlns:xs="http://www.w3.org/2001/XMLSchema" xmlns:p="http://schemas.microsoft.com/office/2006/metadata/properties" targetNamespace="http://schemas.microsoft.com/office/2006/metadata/properties" ma:root="true" ma:fieldsID="ef06a95e37044c945ad81735293fa98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3E7674E-762A-47EF-9926-47D40036A7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F37F251-E261-4CFF-A43E-7C7B20614BAE}">
  <ds:schemaRefs>
    <ds:schemaRef ds:uri="http://schemas.microsoft.com/sharepoint/v3/contenttype/forms"/>
  </ds:schemaRefs>
</ds:datastoreItem>
</file>

<file path=customXml/itemProps3.xml><?xml version="1.0" encoding="utf-8"?>
<ds:datastoreItem xmlns:ds="http://schemas.openxmlformats.org/officeDocument/2006/customXml" ds:itemID="{492D1EAB-9772-42CC-9504-74CCBD45048C}">
  <ds:schemaRefs>
    <ds:schemaRef ds:uri="http://purl.org/dc/elements/1.1/"/>
    <ds:schemaRef ds:uri="http://schemas.microsoft.com/office/2006/documentManagement/types"/>
    <ds:schemaRef ds:uri="http://www.w3.org/XML/1998/namespace"/>
    <ds:schemaRef ds:uri="http://schemas.microsoft.com/office/infopath/2007/PartnerControls"/>
    <ds:schemaRef ds:uri="http://purl.org/dc/dcmitype/"/>
    <ds:schemaRef ds:uri="http://purl.org/dc/terms/"/>
    <ds:schemaRef ds:uri="http://schemas.microsoft.com/office/2006/metadata/properti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vt:i4>
      </vt:variant>
    </vt:vector>
  </HeadingPairs>
  <TitlesOfParts>
    <vt:vector size="59" baseType="lpstr">
      <vt:lpstr>Index</vt:lpstr>
      <vt:lpstr>81 Biogas Plant, Basic conf.</vt:lpstr>
      <vt:lpstr>81 Biogas Plant, Add. Straw</vt:lpstr>
      <vt:lpstr>81 Biogas Plant, Add. Org Waste</vt:lpstr>
      <vt:lpstr>82 Biogas, upgrading</vt:lpstr>
      <vt:lpstr>83 Gasif. Fixed Bed, Producer </vt:lpstr>
      <vt:lpstr>84 Gasif. CFB, Bio-SNG</vt:lpstr>
      <vt:lpstr>85 Gasif. Ent. Flow FT, liq fu </vt:lpstr>
      <vt:lpstr>86 SOEC</vt:lpstr>
      <vt:lpstr>87 PEM Electrolyser</vt:lpstr>
      <vt:lpstr>88 Alkaline Electrolyser</vt:lpstr>
      <vt:lpstr>89 Vegetable oil FAME</vt:lpstr>
      <vt:lpstr>90 UCO &amp; animal fat FAME</vt:lpstr>
      <vt:lpstr>91 Hydrogenated veg oil</vt:lpstr>
      <vt:lpstr>92 HVO jet fuel</vt:lpstr>
      <vt:lpstr>93 1st generation ethanol</vt:lpstr>
      <vt:lpstr>94 Pyrolysis oils</vt:lpstr>
      <vt:lpstr>95 Cellulosic ethanol</vt:lpstr>
      <vt:lpstr>97 Methanol from biomass gasif.</vt:lpstr>
      <vt:lpstr>98 Methanol from power</vt:lpstr>
      <vt:lpstr>99 SNG from methan. of biogas</vt:lpstr>
      <vt:lpstr>100 Hydrothermal liquifaction</vt:lpstr>
      <vt:lpstr>101 Catalytic Hydropyrolysis 2</vt:lpstr>
      <vt:lpstr>101 Catalytic Hydropyrolysis 1</vt:lpstr>
      <vt:lpstr>'91 Hydrogenated veg oil'!_Toc520721076</vt:lpstr>
      <vt:lpstr>'92 HVO jet fuel'!_Toc520721099</vt:lpstr>
      <vt:lpstr>'93 1st generation ethanol'!_Toc520721122</vt:lpstr>
      <vt:lpstr>'94 Pyrolysis oils'!_Toc520721145</vt:lpstr>
      <vt:lpstr>'95 Cellulosic ethanol'!_Toc520721168</vt:lpstr>
      <vt:lpstr>'97 Methanol from biomass gasif.'!_Toc520721214</vt:lpstr>
      <vt:lpstr>'98 Methanol from power'!_Toc520721237</vt:lpstr>
      <vt:lpstr>'99 SNG from methan. of biogas'!_Toc520721259</vt:lpstr>
      <vt:lpstr>'100 Hydrothermal liquifaction'!_Toc520721282</vt:lpstr>
      <vt:lpstr>Index</vt:lpstr>
      <vt:lpstr>Sheet</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Start25</vt:lpstr>
      <vt:lpstr>Start3</vt:lpstr>
      <vt:lpstr>Start4</vt:lpstr>
      <vt:lpstr>Start5</vt:lpstr>
      <vt:lpstr>Start6</vt:lpstr>
      <vt:lpstr>Start7</vt:lpstr>
      <vt:lpstr>Start8</vt:lpstr>
      <vt:lpstr>Start9</vt:lpstr>
    </vt:vector>
  </TitlesOfParts>
  <Company>Statens IT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Rikke Næraa</dc:creator>
  <cp:lastModifiedBy>Filip Gamborg</cp:lastModifiedBy>
  <cp:lastPrinted>2016-08-12T08:57:26Z</cp:lastPrinted>
  <dcterms:created xsi:type="dcterms:W3CDTF">2014-12-02T13:12:45Z</dcterms:created>
  <dcterms:modified xsi:type="dcterms:W3CDTF">2019-02-08T10:09:11Z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0x010100008600E184967748BFA4CA34F83773ED0040C72188BCF4A349906F4396917C1B32</vt:lpwstr>
  </property>
  <property fmtid="{D5CDD505-2E9C-101B-9397-08002B2CF9AE}" pid="3" name="SaveCode">
    <vt:r8>208671033382415</vt:r8>
  </property>
</Properties>
</file>